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Übersicht" sheetId="1" state="visible" r:id="rId3"/>
    <sheet name="Nachfrage" sheetId="2" state="visible" r:id="rId4"/>
    <sheet name="Shortlist" sheetId="3" state="visible" r:id="rId5"/>
    <sheet name="Lieferanten" sheetId="4" state="visible" r:id="rId6"/>
    <sheet name="Ablauf"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<sst xmlns="http://schemas.openxmlformats.org/spreadsheetml/2006/main" count="639" uniqueCount="419">
  <si>
    <t xml:space="preserve">eBay Produktrecherche und Dropshipping-Plan</t>
  </si>
  <si>
    <t xml:space="preserve">Stand 19.10.2026. Recherche aus Suchvolumen-Daten (SISTRIX Sectorwatch Weihnachten 2026), eBay.de Bestseller-Seiten und Lieferanten-Vergleichen. Quellen stehen in jedem Blatt.</t>
  </si>
  <si>
    <t xml:space="preserve">Das Konzept</t>
  </si>
  <si>
    <t xml:space="preserve">Produkte auf eBay einstellen, ohne sie selbst auf Lager zu haben. Kommt eine Bestellung, wird der Artikel beim Lieferanten bestellt und direkt an die Käuferadresse geschickt. Der Aufschlag zwischen Einkauf und Verkaufspreis ist der Gewinn.</t>
  </si>
  <si>
    <t xml:space="preserve">Die eine Entscheidung, die alles bestimmt: der Lieferant</t>
  </si>
  <si>
    <t xml:space="preserve">eBay erlaubt Dropshipping nur, wenn der Lieferant ein Großhändler ist, der direkt an den Käufer liefert. Ware auf einem anderen Marktplatz oder bei einem anderen Händler zu bestellen (Temu, AliExpress, Amazon) ist laut eBay-Dropshipping-Richtlinie ausdrücklich untersagt. Folgen in der Praxis: Angebote entfernt, Verkaufslimit gekürzt, Konto gesperrt.</t>
  </si>
  <si>
    <t xml:space="preserve">Dazu kommt die EU-Produktsicherheitsverordnung (GPSR, seit 13.12.2024): Wer Ware aus China an EU-Kunden verkauft, gilt als Importeur und haftet für Produktsicherheit und Kennzeichnung. Ein EU-Großhändler übernimmt diese Rolle, Temu nicht.</t>
  </si>
  <si>
    <t xml:space="preserve">Der dritte Punkt ist praktisch: 1000 Artikel bekommt man nur mit einem Produktdatenfeed (CSV oder API mit Titel, Bildern, EAN, Lagerbestand) in vertretbarer Zeit eingestellt. EU-Großhändler wie BigBuy, vidaXL oder Nedis liefern genau das und haben Bildrechte geklärt. Temu-Bilder zu kopieren ist eine Urheberrechtsverletzung und in Deutschland abmahnfähig.</t>
  </si>
  <si>
    <t xml:space="preserve">Fazit: Dasselbe Konzept, aber mit EU-Großhändler statt Temu. Lieferzeit 1 bis 5 Tage statt 2 bis 4 Wochen, was auf eBay zusätzlich bessere Sichtbarkeit bringt.</t>
  </si>
  <si>
    <t xml:space="preserve">Blätter in dieser Datei</t>
  </si>
  <si>
    <t xml:space="preserve">Nachfrage: Was gerade gesucht und gekauft wird, mit Suchvolumen und eBay-Bestseller-Beobachtungen.</t>
  </si>
  <si>
    <t xml:space="preserve">Shortlist: 36 Produktideen mit Lieferant, geschätztem Einkauf, Zielpreis, Gebühren, Gewinn und Marge. Gelbe Zellen sind Annahmen, die du anpassen kannst. Die Tabelle rechnet dann neu.</t>
  </si>
  <si>
    <t xml:space="preserve">Lieferanten: EU-Großhändler mit Dropshipping-Programm, Lager, Lieferzeit, Kosten, eBay-Anbindung.</t>
  </si>
  <si>
    <t xml:space="preserve">Ablauf: Was bei einer Bestellung passiert, Schritt für Schritt, und der Weg von 10 auf 1000 Artikel.</t>
  </si>
  <si>
    <t xml:space="preserve">Farblegende</t>
  </si>
  <si>
    <t xml:space="preserve">Gelb: Eingabe, bitte prüfen oder anpassen. Blau: feste Annahme. Schwarz: Formel. Die Einkaufspreise in der Shortlist sind Schätzungen aus Lieferantenkatalogen und müssen vor dem Einstellen mit dem echten Katalogpreis ersetzt werden.</t>
  </si>
  <si>
    <t xml:space="preserve">Was noch offen ist</t>
  </si>
  <si>
    <t xml:space="preserve">1. Live-Check in Google Trends (Deutschland, Kategorie Einkaufen, 90 Tage) für die Shortlist. Das macht die Sitzung in deinem Chrome.</t>
  </si>
  <si>
    <t xml:space="preserve">2. Lieferantenkonto bei einem EU-Großhändler anlegen (Empfehlung im Blatt Lieferanten) und den Produktfeed laden.</t>
  </si>
  <si>
    <t xml:space="preserve">3. Erste 10 bis 20 Artikel einstellen, sobald Rahmenbedingungen und Kontotyp stehen. Limit-Erhöhung beantragen, sobald das Limit erreicht ist.</t>
  </si>
  <si>
    <t xml:space="preserve">Nachfrage-Signale Deutschland, Oktober 2026</t>
  </si>
  <si>
    <t xml:space="preserve">Teil A: Suchvolumen pro Monat (Google, Deutschland). Quelle: SISTRIX Sectorwatch Weihnachten 2026, https://www.sistrix.de/news/sectorwatch-weihnachten-2026/</t>
  </si>
  <si>
    <t xml:space="preserve">Suchbegriff</t>
  </si>
  <si>
    <t xml:space="preserve">Suchvolumen / Monat</t>
  </si>
  <si>
    <t xml:space="preserve">Saison</t>
  </si>
  <si>
    <t xml:space="preserve">Produktkategorie</t>
  </si>
  <si>
    <t xml:space="preserve">Was das für uns heißt</t>
  </si>
  <si>
    <t xml:space="preserve">Quelle</t>
  </si>
  <si>
    <t xml:space="preserve">Adventskalender (Cluster)</t>
  </si>
  <si>
    <t xml:space="preserve">Okt bis Nov</t>
  </si>
  <si>
    <t xml:space="preserve">Geschenke, Saisonware</t>
  </si>
  <si>
    <t xml:space="preserve">Riesige Nachfrage, aber Markenprodukte (Rituals, Lego) dominieren. Nur mit Markenware vom Großhändler sinnvoll.</t>
  </si>
  <si>
    <t xml:space="preserve">SISTRIX</t>
  </si>
  <si>
    <t xml:space="preserve">Rituals Adventskalender</t>
  </si>
  <si>
    <t xml:space="preserve">Beauty, Marke</t>
  </si>
  <si>
    <t xml:space="preserve">Markenartikel, Einkauf nur über autorisierten Großhandel.</t>
  </si>
  <si>
    <t xml:space="preserve">Weihnachtsdeko</t>
  </si>
  <si>
    <t xml:space="preserve">Okt bis Dez</t>
  </si>
  <si>
    <t xml:space="preserve">Haus und Deko</t>
  </si>
  <si>
    <t xml:space="preserve">Breite Kategorie, viele günstige Artikel, gute Dropshipping-Eignung (BigBuy führt Deko).</t>
  </si>
  <si>
    <t xml:space="preserve">Künstlicher Weihnachtsbaum</t>
  </si>
  <si>
    <t xml:space="preserve">Hoher Warenkorb (40 bis 150 €), vidaXL und BigBuy führen Bäume. Sperrgut, Versandkosten prüfen.</t>
  </si>
  <si>
    <t xml:space="preserve">Geschenke für Männer</t>
  </si>
  <si>
    <t xml:space="preserve">Nov bis Dez</t>
  </si>
  <si>
    <t xml:space="preserve">Geschenke</t>
  </si>
  <si>
    <t xml:space="preserve">Gadgets, Werkzeug, Grill, Multitool. Gut mit Großhandelsware zu bedienen.</t>
  </si>
  <si>
    <t xml:space="preserve">LED Weihnachtsdeko</t>
  </si>
  <si>
    <t xml:space="preserve">Haus und Deko, Elektro</t>
  </si>
  <si>
    <t xml:space="preserve">Lichterketten, LED-Figuren. Nur mit CE-Kennzeichnung und EU-Verantwortlichem (GPSR).</t>
  </si>
  <si>
    <t xml:space="preserve">Geschenke für Freundinnen</t>
  </si>
  <si>
    <t xml:space="preserve">Geschenke, Schmuck</t>
  </si>
  <si>
    <t xml:space="preserve">Schmuck, Wellness, personalisierte Artikel. Gallay (Schmuck) als Lieferant.</t>
  </si>
  <si>
    <t xml:space="preserve">Geschenke für Frauen</t>
  </si>
  <si>
    <t xml:space="preserve">Wie oben, plus Haushalt und Beauty-Sets.</t>
  </si>
  <si>
    <t xml:space="preserve">Ugly Christmas Sweater</t>
  </si>
  <si>
    <t xml:space="preserve">Mode</t>
  </si>
  <si>
    <t xml:space="preserve">Starker Trend, aber Mode hat hohe Retourenquote. Nur mit klarer Größentabelle.</t>
  </si>
  <si>
    <t xml:space="preserve">Lego Adventskalender</t>
  </si>
  <si>
    <t xml:space="preserve">Spielzeug, Marke</t>
  </si>
  <si>
    <t xml:space="preserve">Marke, nur über Großhandel.</t>
  </si>
  <si>
    <t xml:space="preserve">Tischläufer Weihnachten</t>
  </si>
  <si>
    <t xml:space="preserve">Günstig, leicht, geringe Retouren. Ideal als Einstiegsartikel.</t>
  </si>
  <si>
    <t xml:space="preserve">Teil B: Was auf eBay.de gerade meistverkauft ist (Beobachtung der eBay-Bestseller-Seiten am 19.10.2026)</t>
  </si>
  <si>
    <t xml:space="preserve">Produkt auf eBay.de Bestseller-Seite</t>
  </si>
  <si>
    <t xml:space="preserve">eBay-Preis (€)</t>
  </si>
  <si>
    <t xml:space="preserve">Kategorie</t>
  </si>
  <si>
    <t xml:space="preserve">Preisniveau</t>
  </si>
  <si>
    <t xml:space="preserve">Lehre für die Shortlist</t>
  </si>
  <si>
    <t xml:space="preserve">USB-C auf USB-A Adapter OTG</t>
  </si>
  <si>
    <t xml:space="preserve">Handy-Zubehör</t>
  </si>
  <si>
    <t xml:space="preserve">sehr niedrig</t>
  </si>
  <si>
    <t xml:space="preserve">Zu billig für Dropshipping, Gebühren fressen alles. Nur als Bundle (3er, 5er).</t>
  </si>
  <si>
    <t xml:space="preserve">ebay.de/t/Handys-Kommunikation</t>
  </si>
  <si>
    <t xml:space="preserve">Ladekabel iPhone/iPad 1 m</t>
  </si>
  <si>
    <t xml:space="preserve">niedrig</t>
  </si>
  <si>
    <t xml:space="preserve">Massenware, hohe Konkurrenz, aber stetige Nachfrage. Nur als Bundle sinnvoll.</t>
  </si>
  <si>
    <t xml:space="preserve">Samsung USB-C Schnellladegerät</t>
  </si>
  <si>
    <t xml:space="preserve">Markenware schlägt No-Name. Nedis-Alternativen mit CE sind möglich.</t>
  </si>
  <si>
    <t xml:space="preserve">Samsung Powerbank 20.000 mAh</t>
  </si>
  <si>
    <t xml:space="preserve">mittel</t>
  </si>
  <si>
    <t xml:space="preserve">Powerbanks sind gefragt, aber Akkus = Gefahrgut und GPSR-Risiko. Nur EU-Lieferant mit CE.</t>
  </si>
  <si>
    <t xml:space="preserve">Displayschutz / Schutzglas 2er-Set</t>
  </si>
  <si>
    <t xml:space="preserve">Sehr gute Marge, leicht, kein Sicherheitsrisiko. Viele Modelle = viele Artikel.</t>
  </si>
  <si>
    <t xml:space="preserve">Smartwatch Herren AMOLED (No-Name)</t>
  </si>
  <si>
    <t xml:space="preserve">Elektronik</t>
  </si>
  <si>
    <t xml:space="preserve">No-Name-Elektronik verkauft sich, aber Funk/Akku = CE-Pflicht, Retouren hoch.</t>
  </si>
  <si>
    <t xml:space="preserve">Bodenwischer-Set Leifheit</t>
  </si>
  <si>
    <t xml:space="preserve">Haushalt</t>
  </si>
  <si>
    <t xml:space="preserve">Haushaltshelfer mit Marke laufen. BigBuy führt Haushaltsmarken.</t>
  </si>
  <si>
    <t xml:space="preserve">ebay.de/t/Haushaltsprodukte</t>
  </si>
  <si>
    <t xml:space="preserve">Waschpulver 10 kg</t>
  </si>
  <si>
    <t xml:space="preserve">Verbrauchsgüter laufen stetig, aber schwer (Versandkosten). Lieferant mit Pauschalversand nötig.</t>
  </si>
  <si>
    <t xml:space="preserve">Spülmaschinentabs 35 Stück</t>
  </si>
  <si>
    <t xml:space="preserve">Wiederkäufer-Artikel, gut für Stammkunden.</t>
  </si>
  <si>
    <t xml:space="preserve">Schuhcreme Collonil</t>
  </si>
  <si>
    <t xml:space="preserve">Kleine Markenartikel ab 8 € funktionieren, wenn Versand günstig ist.</t>
  </si>
  <si>
    <t xml:space="preserve">Homematic IP Heizen Starter Set</t>
  </si>
  <si>
    <t xml:space="preserve">Smart Home</t>
  </si>
  <si>
    <t xml:space="preserve">hoch</t>
  </si>
  <si>
    <t xml:space="preserve">Smart-Home ist gefragt, Markenware über Großhandel (Allnet, Kosatec).</t>
  </si>
  <si>
    <t xml:space="preserve">ebay.de Bestseller Elektroinstallation</t>
  </si>
  <si>
    <t xml:space="preserve">Akku-Knicklampe BGS COB-LED</t>
  </si>
  <si>
    <t xml:space="preserve">Werkzeug</t>
  </si>
  <si>
    <t xml:space="preserve">Werkzeug und Lampen laufen, Männergeschenk-Saison.</t>
  </si>
  <si>
    <t xml:space="preserve">Teil C: Trendkategorien für Dropshipping aus Deutschland 2026 (Quelle: import2shop.com, Dropshipping Produkte versendet aus Deutschland)</t>
  </si>
  <si>
    <t xml:space="preserve">Typische Marge</t>
  </si>
  <si>
    <t xml:space="preserve">Lieferzeit</t>
  </si>
  <si>
    <t xml:space="preserve">Lieferant</t>
  </si>
  <si>
    <t xml:space="preserve">Beispielprodukte</t>
  </si>
  <si>
    <t xml:space="preserve">Hinweis</t>
  </si>
  <si>
    <t xml:space="preserve">Heimtierbedarf</t>
  </si>
  <si>
    <t xml:space="preserve">35 bis 55 %</t>
  </si>
  <si>
    <t xml:space="preserve">1 bis 3 Tage (DE)</t>
  </si>
  <si>
    <t xml:space="preserve">Zoodrop, Kaysser</t>
  </si>
  <si>
    <t xml:space="preserve">Orthopädisches Hundebett, Futterautomat, Interaktives Spielzeug</t>
  </si>
  <si>
    <t xml:space="preserve">Treue Käufer, Wiederkäufe planbar. Kein GPSR-Risiko bei Textil.</t>
  </si>
  <si>
    <t xml:space="preserve">Haushalt und Küche</t>
  </si>
  <si>
    <t xml:space="preserve">30 bis 45 %</t>
  </si>
  <si>
    <t xml:space="preserve">2 bis 5 Tage (EU)</t>
  </si>
  <si>
    <t xml:space="preserve">BigBuy</t>
  </si>
  <si>
    <t xml:space="preserve">Küchenorganizer, Aufbewahrung, Platzsparhelfer</t>
  </si>
  <si>
    <t xml:space="preserve">Breiteste Kategorie, gut für die ersten 100 Artikel.</t>
  </si>
  <si>
    <t xml:space="preserve">Möbel und Garten</t>
  </si>
  <si>
    <t xml:space="preserve">30 bis 50 %</t>
  </si>
  <si>
    <t xml:space="preserve">vidaXL, CLP</t>
  </si>
  <si>
    <t xml:space="preserve">Lounge-Set, Hochbeet, Regal</t>
  </si>
  <si>
    <t xml:space="preserve">Hoher Warenkorb, weniger Konkurrenz, Sperrgutversand.</t>
  </si>
  <si>
    <t xml:space="preserve">Elektronik-Zubehör</t>
  </si>
  <si>
    <t xml:space="preserve">25 bis 40 %</t>
  </si>
  <si>
    <t xml:space="preserve">1 bis 3 Tage (DE/EU)</t>
  </si>
  <si>
    <t xml:space="preserve">Nedis, ETT, trends4cents</t>
  </si>
  <si>
    <t xml:space="preserve">Kopfhörer, Ladegeräte, Smart-Home-Stecker</t>
  </si>
  <si>
    <t xml:space="preserve">Nur CE-gekennzeichnet, EU-Verantwortlicher Pflicht.</t>
  </si>
  <si>
    <t xml:space="preserve">Wellness und Fitness</t>
  </si>
  <si>
    <t xml:space="preserve">2 bis 5 Tage</t>
  </si>
  <si>
    <t xml:space="preserve">Massagegeräte, Widerstandsbänder, Faszienrollen</t>
  </si>
  <si>
    <t xml:space="preserve">Januar-Saison (Vorsätze) nach Weihnachten.</t>
  </si>
  <si>
    <t xml:space="preserve">Schmuck und Uhren</t>
  </si>
  <si>
    <t xml:space="preserve">40 bis 60 %</t>
  </si>
  <si>
    <t xml:space="preserve">Gallay, ILA Uhren</t>
  </si>
  <si>
    <t xml:space="preserve">Silberschmuck, Modeschmuck, Uhren</t>
  </si>
  <si>
    <t xml:space="preserve">Hohe Marge, braucht gute Bilder, die Gallay per Feed liefert.</t>
  </si>
  <si>
    <t xml:space="preserve">Spielzeug</t>
  </si>
  <si>
    <t xml:space="preserve">MiniHeld, HL Handelsgesellschaft</t>
  </si>
  <si>
    <t xml:space="preserve">Lizenzartikel, Schulbedarf, Geschenke</t>
  </si>
  <si>
    <t xml:space="preserve">Starke Q4-Saison. CE-Kennzeichnung Pflicht.</t>
  </si>
  <si>
    <t xml:space="preserve">Produkt-Shortlist mit Kalkulation</t>
  </si>
  <si>
    <t xml:space="preserve">Gelbe Zellen anpassen. Einkaufspreise sind Schätzungen aus Lieferantenkatalogen (Oktober 2026) und müssen vor dem Einstellen durch den echten Katalogpreis ersetzt werden.</t>
  </si>
  <si>
    <t xml:space="preserve">Annahmen</t>
  </si>
  <si>
    <t xml:space="preserve">Provision eBay (gewerblich, Durchschnitt)</t>
  </si>
  <si>
    <t xml:space="preserve">Je Kategorie 11 bis 15 %, exakte Sätze im Blatt Gebühren der Datei ebay-preiskalkulation.xlsx. Quelle: ebay.de/help/selling/fees-credits-invoices/gebhren-fr-gewerbliche-verkufer?id=4809</t>
  </si>
  <si>
    <t xml:space="preserve">Fixanteil je Verkauf (€)</t>
  </si>
  <si>
    <t xml:space="preserve">0,35 € bis 10 € Verkaufspreis, darüber 0,45 €. Vereinfacht 0,35 €.</t>
  </si>
  <si>
    <t xml:space="preserve">Umsatzsteuer</t>
  </si>
  <si>
    <t xml:space="preserve">Entfällt bei Kleinunternehmerregelung (§ 19 UStG). Dann hier 0 eintragen.</t>
  </si>
  <si>
    <t xml:space="preserve">Vorsteuerabzug auf Einkauf</t>
  </si>
  <si>
    <t xml:space="preserve">1 = ja (Regelbesteuerung), 0 = nein (Kleinunternehmer).</t>
  </si>
  <si>
    <t xml:space="preserve">Retourenquote (Anteil Umsatz)</t>
  </si>
  <si>
    <t xml:space="preserve">Annahme 4 %. Mode 15 bis 25 %, Haushalt 2 bis 5 %.</t>
  </si>
  <si>
    <t xml:space="preserve">Wunschmarge auf Verkaufspreis</t>
  </si>
  <si>
    <t xml:space="preserve">Zielwert für die Spalte Zielpreis.</t>
  </si>
  <si>
    <t xml:space="preserve">Nr</t>
  </si>
  <si>
    <t xml:space="preserve">Produktidee</t>
  </si>
  <si>
    <t xml:space="preserve">Nachfrage-Signal</t>
  </si>
  <si>
    <t xml:space="preserve">Lieferant (EU)</t>
  </si>
  <si>
    <t xml:space="preserve">Einkauf netto (€)</t>
  </si>
  <si>
    <t xml:space="preserve">Versand Lieferant (€)</t>
  </si>
  <si>
    <t xml:space="preserve">Verkaufspreis brutto (€)</t>
  </si>
  <si>
    <t xml:space="preserve">eBay-Gebühren (€)</t>
  </si>
  <si>
    <t xml:space="preserve">USt abzuführen (€)</t>
  </si>
  <si>
    <t xml:space="preserve">Retourenrisiko (€)</t>
  </si>
  <si>
    <t xml:space="preserve">Gewinn (€)</t>
  </si>
  <si>
    <t xml:space="preserve">Marge</t>
  </si>
  <si>
    <t xml:space="preserve">Zielpreis Wunschmarge (€)</t>
  </si>
  <si>
    <t xml:space="preserve">GPSR-Risiko</t>
  </si>
  <si>
    <t xml:space="preserve">Hinweis / Phase</t>
  </si>
  <si>
    <t xml:space="preserve">Tischläufer Weihnachten, 180 cm, Leinenoptik</t>
  </si>
  <si>
    <t xml:space="preserve">Suchvolumen 4.000/Monat, Saison</t>
  </si>
  <si>
    <t xml:space="preserve">Phase 1. Leicht, kaum Retouren.</t>
  </si>
  <si>
    <t xml:space="preserve">LED-Lichterkette 10 m, batteriebetrieben, warmweiß</t>
  </si>
  <si>
    <t xml:space="preserve">LED Weihnachtsdeko 22.400/Monat</t>
  </si>
  <si>
    <t xml:space="preserve">Nedis</t>
  </si>
  <si>
    <t xml:space="preserve">Phase 1. Nur CE, Batterie-Hinweis in Angebot.</t>
  </si>
  <si>
    <t xml:space="preserve">Weihnachtsdeko-Set Holz-Wichtel 3er</t>
  </si>
  <si>
    <t xml:space="preserve">Weihnachtsdeko 43.700/Monat</t>
  </si>
  <si>
    <t xml:space="preserve">Phase 1.</t>
  </si>
  <si>
    <t xml:space="preserve">Künstlicher Weihnachtsbaum 180 cm mit Ständer</t>
  </si>
  <si>
    <t xml:space="preserve">28.600/Monat</t>
  </si>
  <si>
    <t xml:space="preserve">vidaXL</t>
  </si>
  <si>
    <t xml:space="preserve">Phase 1. Sperrgut, Versand prüfen.</t>
  </si>
  <si>
    <t xml:space="preserve">LED-Fensterbild Stern, 30 cm</t>
  </si>
  <si>
    <t xml:space="preserve">Phase 1. CE-Pflicht.</t>
  </si>
  <si>
    <t xml:space="preserve">Adventskalender zum Befüllen, Holz, 24 Boxen</t>
  </si>
  <si>
    <t xml:space="preserve">Adventskalender-Cluster 172.000/Monat</t>
  </si>
  <si>
    <t xml:space="preserve">Phase 1. Nicht-Markenvariante der Top-Suche.</t>
  </si>
  <si>
    <t xml:space="preserve">Küchen-Organizer Besteckeinsatz ausziehbar</t>
  </si>
  <si>
    <t xml:space="preserve">Trendkategorie Küche</t>
  </si>
  <si>
    <t xml:space="preserve">Vakuum-Aufbewahrungsbeutel 6er-Set</t>
  </si>
  <si>
    <t xml:space="preserve">Trendkategorie Aufbewahrung</t>
  </si>
  <si>
    <t xml:space="preserve">Gewürzregal drehbar 2 Etagen</t>
  </si>
  <si>
    <t xml:space="preserve">Bodenwischer-Set mit Eimer und Schleuder</t>
  </si>
  <si>
    <t xml:space="preserve">eBay-Bestseller Haushalt (Leifheit 39,90 €)</t>
  </si>
  <si>
    <t xml:space="preserve">Orthopädisches Hundebett 80 cm, Memory-Schaum</t>
  </si>
  <si>
    <t xml:space="preserve">Heimtier</t>
  </si>
  <si>
    <t xml:space="preserve">Trendkategorie Heimtier, 35 bis 55 % Marge</t>
  </si>
  <si>
    <t xml:space="preserve">Zoodrop</t>
  </si>
  <si>
    <t xml:space="preserve">Futterautomat für Katzen, 4 l</t>
  </si>
  <si>
    <t xml:space="preserve">Trendkategorie Heimtier</t>
  </si>
  <si>
    <t xml:space="preserve">Phase 2. Elektronik, CE.</t>
  </si>
  <si>
    <t xml:space="preserve">Hunde-Schnüffelmatte 50x50</t>
  </si>
  <si>
    <t xml:space="preserve">Katzenbrunnen 2 l mit Filter</t>
  </si>
  <si>
    <t xml:space="preserve">Displayschutzglas 2er-Set mit Applikator, je Modell</t>
  </si>
  <si>
    <t xml:space="preserve">eBay-Bestseller 20 bis 22 €</t>
  </si>
  <si>
    <t xml:space="preserve">Nedis / ETT</t>
  </si>
  <si>
    <t xml:space="preserve">Phase 1. Ein Artikel je Handymodell = 50+ Listings.</t>
  </si>
  <si>
    <t xml:space="preserve">USB-C Ladegerät 30 W GaN, CE</t>
  </si>
  <si>
    <t xml:space="preserve">eBay-Bestseller (Samsung 5,99 €)</t>
  </si>
  <si>
    <t xml:space="preserve">Phase 1. Nur mit CE und EU-Hersteller.</t>
  </si>
  <si>
    <t xml:space="preserve">USB-C Kabel 2 m 3er-Pack</t>
  </si>
  <si>
    <t xml:space="preserve">eBay-Bestseller Ladekabel</t>
  </si>
  <si>
    <t xml:space="preserve">Phase 1. Als Bundle, Einzelkabel lohnt nicht.</t>
  </si>
  <si>
    <t xml:space="preserve">Powerbank 20.000 mAh, CE</t>
  </si>
  <si>
    <t xml:space="preserve">eBay-Bestseller (34,99 €)</t>
  </si>
  <si>
    <t xml:space="preserve">Phase 3. Lithium = Gefahrgut, nur mit EU-Lieferant, der Versand übernimmt.</t>
  </si>
  <si>
    <t xml:space="preserve">Bluetooth-Kopfhörer In-Ear, CE</t>
  </si>
  <si>
    <t xml:space="preserve">Trendkategorie Elektronik-Zubehör</t>
  </si>
  <si>
    <t xml:space="preserve">Phase 2. Retouren hoch.</t>
  </si>
  <si>
    <t xml:space="preserve">Smart-Home WLAN-Steckdose 2er</t>
  </si>
  <si>
    <t xml:space="preserve">eBay-Bestseller Smart Home</t>
  </si>
  <si>
    <t xml:space="preserve">Nedis / Allnet</t>
  </si>
  <si>
    <t xml:space="preserve">Phase 2. CE, Funk.</t>
  </si>
  <si>
    <t xml:space="preserve">Akku-LED-Arbeitsleuchte COB</t>
  </si>
  <si>
    <t xml:space="preserve">eBay-Bestseller (22,18 €), Männergeschenk</t>
  </si>
  <si>
    <t xml:space="preserve">ETT / trends4cents</t>
  </si>
  <si>
    <t xml:space="preserve">Multitool 14-in-1 Edelstahl mit Etui</t>
  </si>
  <si>
    <t xml:space="preserve">Geschenke für Männer 27.000/Monat</t>
  </si>
  <si>
    <t xml:space="preserve">Grillbesteck-Set 20-teilig Alukoffer</t>
  </si>
  <si>
    <t xml:space="preserve">Werkzeug / Garten</t>
  </si>
  <si>
    <t xml:space="preserve">Syntrox / BigBuy</t>
  </si>
  <si>
    <t xml:space="preserve">Massagepistole Mini, CE</t>
  </si>
  <si>
    <t xml:space="preserve">Wellness</t>
  </si>
  <si>
    <t xml:space="preserve">Trendkategorie Wellness</t>
  </si>
  <si>
    <t xml:space="preserve">Phase 2. Akku, CE.</t>
  </si>
  <si>
    <t xml:space="preserve">Faszienrolle plus Ball Set</t>
  </si>
  <si>
    <t xml:space="preserve">Trendkategorie Fitness, Januar-Saison</t>
  </si>
  <si>
    <t xml:space="preserve">Widerstandsbänder 5er-Set mit Tasche</t>
  </si>
  <si>
    <t xml:space="preserve">Trendkategorie Fitness</t>
  </si>
  <si>
    <t xml:space="preserve">Yogamatte 183x61 rutschfest</t>
  </si>
  <si>
    <t xml:space="preserve">Silberkette 925 mit Anhänger</t>
  </si>
  <si>
    <t xml:space="preserve">Schmuck</t>
  </si>
  <si>
    <t xml:space="preserve">Geschenke für Freundinnen 18.600/Monat</t>
  </si>
  <si>
    <t xml:space="preserve">Gallay</t>
  </si>
  <si>
    <t xml:space="preserve">Phase 1. Feed mit Bildern.</t>
  </si>
  <si>
    <t xml:space="preserve">Ohrringe 925 Silber Zirkonia</t>
  </si>
  <si>
    <t xml:space="preserve">Geschenke für Frauen 18.000/Monat</t>
  </si>
  <si>
    <t xml:space="preserve">Herrenuhr Edelstahl Quarz</t>
  </si>
  <si>
    <t xml:space="preserve">Uhren</t>
  </si>
  <si>
    <t xml:space="preserve">ILA Uhren</t>
  </si>
  <si>
    <t xml:space="preserve">Phase 2.</t>
  </si>
  <si>
    <t xml:space="preserve">Ugly Christmas Sweater Unisex</t>
  </si>
  <si>
    <t xml:space="preserve">11.200/Monat, Saison</t>
  </si>
  <si>
    <t xml:space="preserve">Atixo</t>
  </si>
  <si>
    <t xml:space="preserve">Phase 2. Retouren 15 bis 25 %, Retourenquote hier anpassen.</t>
  </si>
  <si>
    <t xml:space="preserve">Kinder-Holzpuzzle Alphabet, CE</t>
  </si>
  <si>
    <t xml:space="preserve">Q4-Saison Spielzeug</t>
  </si>
  <si>
    <t xml:space="preserve">MiniHeld</t>
  </si>
  <si>
    <t xml:space="preserve">Phase 2. CE und Altersangabe Pflicht.</t>
  </si>
  <si>
    <t xml:space="preserve">Hochbeet Metall 160x80 cm</t>
  </si>
  <si>
    <t xml:space="preserve">Garten</t>
  </si>
  <si>
    <t xml:space="preserve">Trendkategorie Garten, hoher Warenkorb</t>
  </si>
  <si>
    <t xml:space="preserve">Phase 2. Frühjahrssaison ab Februar.</t>
  </si>
  <si>
    <t xml:space="preserve">Lounge-Set Polyrattan 4-teilig</t>
  </si>
  <si>
    <t xml:space="preserve">Trendkategorie Garten</t>
  </si>
  <si>
    <t xml:space="preserve">Phase 3. Speditionsversand, hoher Gewinn je Verkauf.</t>
  </si>
  <si>
    <t xml:space="preserve">Rollwagen Küche 3 Ebenen Metall</t>
  </si>
  <si>
    <t xml:space="preserve">Schuhregal 5 Ebenen Stoff</t>
  </si>
  <si>
    <t xml:space="preserve">Summe / Durchschnitt über alle Ideen</t>
  </si>
  <si>
    <t xml:space="preserve">Anzahl Ideen mit Marge unter Wunschmarge</t>
  </si>
  <si>
    <t xml:space="preserve">Lesehilfe: Gewinn ist das, was nach Einkauf, Lieferantenversand, eBay-Gebühren, Umsatzsteuer und Retourenrisiko übrig bleibt. Der Zielpreis ist der Verkaufspreis, bei dem genau die Wunschmarge erreicht wird.</t>
  </si>
  <si>
    <t xml:space="preserve">Die Versandkosten des Lieferanten stehen hier als Kosten für dich. Wenn du dem Käufer Versandkosten berechnest, zählt das zum Verkaufspreis dazu.</t>
  </si>
  <si>
    <t xml:space="preserve">GPSR-Risiko: niedrig = Textil, Holz, Metall ohne Strom. mittel = Elektronik mit CE vom EU-Lieferanten. hoch = Lithium-Akkus, Spielzeug ohne Prüfzeichen, Kosmetik.</t>
  </si>
  <si>
    <t xml:space="preserve">Phase 1 = sofort mit dem Startlimit. Phase 2 = nach erster Limit-Erhöhung. Phase 3 = nach gewerblicher Hochstufung und stabilen Kennzahlen.</t>
  </si>
  <si>
    <t xml:space="preserve">EU-Großhändler mit Dropshipping-Programm (eBay-konform)</t>
  </si>
  <si>
    <t xml:space="preserve">Angaben aus Anbieter-Vergleichen Oktober 2026. Preise und Konditionen vor Vertragsabschluss direkt beim Anbieter prüfen, die Quellen widersprechen sich teils bei Gebühren.</t>
  </si>
  <si>
    <t xml:space="preserve">Sortiment</t>
  </si>
  <si>
    <t xml:space="preserve">Lager</t>
  </si>
  <si>
    <t xml:space="preserve">Lieferzeit nach DE</t>
  </si>
  <si>
    <t xml:space="preserve">Kosten</t>
  </si>
  <si>
    <t xml:space="preserve">eBay-Anbindung</t>
  </si>
  <si>
    <t xml:space="preserve">Datenfeed / Bilder</t>
  </si>
  <si>
    <t xml:space="preserve">Einschätzung</t>
  </si>
  <si>
    <t xml:space="preserve">Haushalt, Deko, Elektronik-Zubehör, Wellness, Spielzeug, ca. 200.000 Artikel</t>
  </si>
  <si>
    <t xml:space="preserve">Spanien, Frankreich, Deutschland</t>
  </si>
  <si>
    <t xml:space="preserve">2 bis 5 Tage, Lagerware 48 bis 72 h</t>
  </si>
  <si>
    <t xml:space="preserve">Quellen nennen 0 bis 50 €/Monat je nach Paket, Marktplatz-Connector kostet extra</t>
  </si>
  <si>
    <t xml:space="preserve">Ja, eigener eBay-Connector</t>
  </si>
  <si>
    <t xml:space="preserve">CSV, XML, API mit Bildern, EAN, Bestand</t>
  </si>
  <si>
    <t xml:space="preserve">Empfehlung für den Start: breitestes Sortiment, Bilder und EAN im Feed, eBay-Connector. Margen dünner als bei Nischenhändlern.</t>
  </si>
  <si>
    <t xml:space="preserve">base.com/de-DE/blog/dropshipping-lieferanten, onlineshops.de Vergleich 2026</t>
  </si>
  <si>
    <t xml:space="preserve">Möbel, Garten, Haushalt, Weihnachtsbäume</t>
  </si>
  <si>
    <t xml:space="preserve">EU-Lager (NL, DE)</t>
  </si>
  <si>
    <t xml:space="preserve">Dropshipping-Programm, keine Grundgebühr laut Quellen</t>
  </si>
  <si>
    <t xml:space="preserve">Über Tools (AutoDS, Import2Shop)</t>
  </si>
  <si>
    <t xml:space="preserve">CSV/API mit Bildern</t>
  </si>
  <si>
    <t xml:space="preserve">Hoher Warenkorb, weniger Konkurrenz. Sperrgutversand teurer.</t>
  </si>
  <si>
    <t xml:space="preserve">import2shop.com, easync.io</t>
  </si>
  <si>
    <t xml:space="preserve">Elektronik-Zubehör, Kabel, Ladegeräte, Smart Home, CE-gekennzeichnet</t>
  </si>
  <si>
    <t xml:space="preserve">Niederlande</t>
  </si>
  <si>
    <t xml:space="preserve">1 bis 3 Tage</t>
  </si>
  <si>
    <t xml:space="preserve">Händlerkonto, kein Abo bekannt</t>
  </si>
  <si>
    <t xml:space="preserve">Über Tools</t>
  </si>
  <si>
    <t xml:space="preserve">Feed mit Bildern und CE-Dokumenten</t>
  </si>
  <si>
    <t xml:space="preserve">Richtig für Handy-Zubehör: EU-Hersteller, GPSR-Verantwortlicher ist Nedis selbst.</t>
  </si>
  <si>
    <t xml:space="preserve">import2shop.com</t>
  </si>
  <si>
    <t xml:space="preserve">Deutschland</t>
  </si>
  <si>
    <t xml:space="preserve">Händlerkonto</t>
  </si>
  <si>
    <t xml:space="preserve">Feed</t>
  </si>
  <si>
    <t xml:space="preserve">Heimtier mit 35 bis 55 % Marge laut Quelle, Versand aus DE.</t>
  </si>
  <si>
    <t xml:space="preserve">Gold-, Silber-, Modeschmuck</t>
  </si>
  <si>
    <t xml:space="preserve">CSV-Feed mit Bildern</t>
  </si>
  <si>
    <t xml:space="preserve">Hohe Marge, leicht, günstiger Versand. Gute Geschenkartikel.</t>
  </si>
  <si>
    <t xml:space="preserve">zikanalytics.com German dropshipping suppliers</t>
  </si>
  <si>
    <t xml:space="preserve">Uhren und Schmuck</t>
  </si>
  <si>
    <t xml:space="preserve">Ergänzung zu Gallay.</t>
  </si>
  <si>
    <t xml:space="preserve">MiniHeld / HL Handelsgesellschaft</t>
  </si>
  <si>
    <t xml:space="preserve">Spielzeug, Lizenzartikel, Schulbedarf</t>
  </si>
  <si>
    <t xml:space="preserve">Q4-Saison. CE-Kennzeichnung ist bei DE-Importeur geklärt.</t>
  </si>
  <si>
    <t xml:space="preserve">Kosatec / Allnet</t>
  </si>
  <si>
    <t xml:space="preserve">IT, Netzwerk, Smart Home, Markenware</t>
  </si>
  <si>
    <t xml:space="preserve">Händlerkonto, Gewerbenachweis nötig</t>
  </si>
  <si>
    <t xml:space="preserve">Markenelektronik mit kleiner Marge, aber hoher Nachfrage.</t>
  </si>
  <si>
    <t xml:space="preserve">Syntrox Germany</t>
  </si>
  <si>
    <t xml:space="preserve">Grills, Küchengeräte, Reinigungstechnik</t>
  </si>
  <si>
    <t xml:space="preserve">Männergeschenke, Grillsaison.</t>
  </si>
  <si>
    <t xml:space="preserve">Mode, Kostüme, Bademode</t>
  </si>
  <si>
    <t xml:space="preserve">Ugly Christmas Sweater und Karneval. Retouren hoch.</t>
  </si>
  <si>
    <t xml:space="preserve">CJ Dropshipping</t>
  </si>
  <si>
    <t xml:space="preserve">Breites Sortiment, China-Ware teils aus EU-Lager</t>
  </si>
  <si>
    <t xml:space="preserve">Frankfurt und China</t>
  </si>
  <si>
    <t xml:space="preserve">5 bis 10 Werktage ab DE-Lager</t>
  </si>
  <si>
    <t xml:space="preserve">Kostenlos</t>
  </si>
  <si>
    <t xml:space="preserve">Ja</t>
  </si>
  <si>
    <t xml:space="preserve">Nur Artikel aus dem Frankfurter Lager nehmen. Qualität schwankt, GPSR-Verantwortlicher muss je Artikel geklärt sein.</t>
  </si>
  <si>
    <t xml:space="preserve">onlineshops.de Vergleich 2026</t>
  </si>
  <si>
    <t xml:space="preserve">Tools: AutoDS, Import2Shop, Easync</t>
  </si>
  <si>
    <t xml:space="preserve">Keine Lieferanten, sondern Software: Feed-Import, Preisregeln, Bestandsabgleich, Bestellweiterleitung, Tracking-Upload</t>
  </si>
  <si>
    <t xml:space="preserve">AutoDS ab 19,90 €/Monat, Import2Shop 69 €/Monat</t>
  </si>
  <si>
    <t xml:space="preserve">Ja, alle drei</t>
  </si>
  <si>
    <t xml:space="preserve">Ab etwa 100 Artikeln nötig, sonst sind Bestandsabgleich und Tracking nicht zu schaffen. Vorher reicht der eBay-CSV-Upload.</t>
  </si>
  <si>
    <t xml:space="preserve">onlineshops.de, import2shop.com</t>
  </si>
  <si>
    <t xml:space="preserve">Nicht geeignet: Temu, AliExpress, Amazon</t>
  </si>
  <si>
    <t xml:space="preserve">Marktplätze und Einzelhändler</t>
  </si>
  <si>
    <t xml:space="preserve">China</t>
  </si>
  <si>
    <t xml:space="preserve">2 bis 4 Wochen</t>
  </si>
  <si>
    <t xml:space="preserve">Verstoß gegen eBay-Dropshipping-Richtlinie</t>
  </si>
  <si>
    <t xml:space="preserve">Bilder urheberrechtlich geschützt</t>
  </si>
  <si>
    <t xml:space="preserve">Angebotsentfernung, Limitkürzung, Kontosperre. Käufer wird als Importeur behandelt (GPSR). Nur für Produktrecherche nutzen, nicht als Lieferant.</t>
  </si>
  <si>
    <t xml:space="preserve">easync.io eBay Dropshipping 2026 Regeln; zikanalytics.com eBay Dropshipping Germany</t>
  </si>
  <si>
    <t xml:space="preserve">Ablauf einer Bestellung (Dropshipping)</t>
  </si>
  <si>
    <t xml:space="preserve">Schritt</t>
  </si>
  <si>
    <t xml:space="preserve">Was passiert</t>
  </si>
  <si>
    <t xml:space="preserve">Wer macht es, womit</t>
  </si>
  <si>
    <t xml:space="preserve">Zeitvorgabe</t>
  </si>
  <si>
    <t xml:space="preserve">Käufer kauft auf eBay und bezahlt</t>
  </si>
  <si>
    <t xml:space="preserve">eBay-Zahlungsabwicklung. Geld wird nach Versandbestätigung ausgezahlt.</t>
  </si>
  <si>
    <t xml:space="preserve">sofort</t>
  </si>
  <si>
    <t xml:space="preserve">Bestellung erscheint im Verkäufer-Cockpit unter Bestellungen</t>
  </si>
  <si>
    <t xml:space="preserve">https://www.ebay.de/sh/ord/?filter=status%3AALL_ORDERS. Ab 100 Artikeln automatisch per Tool (AutoDS, Import2Shop).</t>
  </si>
  <si>
    <t xml:space="preserve">innerhalb 1 Werktag</t>
  </si>
  <si>
    <t xml:space="preserve">Bestand beim Lieferanten prüfen</t>
  </si>
  <si>
    <t xml:space="preserve">Feed oder Lieferantenportal. Ist der Artikel ausverkauft: Käufer sofort informieren, Angebot beenden.</t>
  </si>
  <si>
    <t xml:space="preserve">Artikel beim Lieferanten bestellen, Lieferadresse = Käuferadresse</t>
  </si>
  <si>
    <t xml:space="preserve">Lieferantenportal oder API. Rechnung an dich, Lieferung an Käufer (neutraler Versand, kein Lieferanten-Logo). Käuferdaten nur für diese Lieferung nutzen (DSGVO Art. 6 Abs. 1 b).</t>
  </si>
  <si>
    <t xml:space="preserve">innerhalb 1 Werktag (Bearbeitungszeit im Angebot: 1 bis 2 Werktage)</t>
  </si>
  <si>
    <t xml:space="preserve">Sendungsnummer vom Lieferanten in eBay eintragen</t>
  </si>
  <si>
    <t xml:space="preserve">Verkäufer-Cockpit, Bestellung, Versand markieren, Sendungsnummer. Ohne Tracking sinkt der Verkäuferstatus und die Auszahlung verzögert sich.</t>
  </si>
  <si>
    <t xml:space="preserve">am Tag der Bestellung beim Lieferanten</t>
  </si>
  <si>
    <t xml:space="preserve">Lieferung beim Käufer</t>
  </si>
  <si>
    <t xml:space="preserve">EU-Lager: 1 bis 5 Tage. Angebot muss die realistische Lieferzeit zeigen.</t>
  </si>
  <si>
    <t xml:space="preserve">1 bis 5 Tage</t>
  </si>
  <si>
    <t xml:space="preserve">Rechnung an den Käufer</t>
  </si>
  <si>
    <t xml:space="preserve">Gewerblich: Rechnung mit USt oder Kleinunternehmer-Hinweis. Tools erzeugen sie automatisch, sonst Vorlage.</t>
  </si>
  <si>
    <t xml:space="preserve">mit Versand</t>
  </si>
  <si>
    <t xml:space="preserve">Retoure</t>
  </si>
  <si>
    <t xml:space="preserve">Käufer meldet Rücksendung in eBay. Rücksendeadresse ist deine oder die des Lieferanten (vorher mit Lieferant klären). Erstattung nach Eingang.</t>
  </si>
  <si>
    <t xml:space="preserve">14 Tage Widerruf, Erstattung innerhalb 14 Tagen nach Eingang</t>
  </si>
  <si>
    <t xml:space="preserve">Monatlich: Verkaufslimit prüfen und Erhöhung beantragen</t>
  </si>
  <si>
    <t xml:space="preserve">Verkäufer-Cockpit Pro, Monatslimits. Antrag sobald Limit erreicht und Verkäuferstandards erfüllt.</t>
  </si>
  <si>
    <t xml:space="preserve">monatlich</t>
  </si>
  <si>
    <t xml:space="preserve">Der Weg von 10 auf 1000 Artikel</t>
  </si>
  <si>
    <t xml:space="preserve">Phase</t>
  </si>
  <si>
    <t xml:space="preserve">Ziel</t>
  </si>
  <si>
    <t xml:space="preserve">Was dafür nötig ist</t>
  </si>
  <si>
    <t xml:space="preserve">Zeitrahmen (realistisch)</t>
  </si>
  <si>
    <t xml:space="preserve">1</t>
  </si>
  <si>
    <t xml:space="preserve">Start: 10 bis 20 Artikel aus der Shortlist Phase 1</t>
  </si>
  <si>
    <t xml:space="preserve">Kontotyp gewerblich, Rahmenbedingungen, Lieferantenkonto (BigBuy oder Zoodrop), Angebote per CSV-Upload mit eigenen Texten und Lieferanten-Bildern. Jede Bestellung am selben Tag mit Tracking abwickeln.</t>
  </si>
  <si>
    <t xml:space="preserve">Woche 1 bis 2</t>
  </si>
  <si>
    <t xml:space="preserve">2</t>
  </si>
  <si>
    <t xml:space="preserve">Erste Limit-Erhöhung, 50 bis 100 Artikel</t>
  </si>
  <si>
    <t xml:space="preserve">Limit erreicht, Verkäuferstandards erfüllt (Tracking-Quote, keine Fälle). Antrag unter Monatslimits. eBay fragt nach dem Geschäftsmodell: Großhandels-Dropshipping mit EU-Lieferant angeben.</t>
  </si>
  <si>
    <t xml:space="preserve">Woche 3 bis 6</t>
  </si>
  <si>
    <t xml:space="preserve">3</t>
  </si>
  <si>
    <t xml:space="preserve">100 bis 300 Artikel, Tool-Einführung</t>
  </si>
  <si>
    <t xml:space="preserve">AutoDS oder Import2Shop für Bestandsabgleich und Tracking. Zweiten Lieferanten anbinden (Nedis oder Gallay). Preisregeln nach Blatt Shortlist.</t>
  </si>
  <si>
    <t xml:space="preserve">Monat 2 bis 3</t>
  </si>
  <si>
    <t xml:space="preserve">4</t>
  </si>
  <si>
    <t xml:space="preserve">300 bis 1000 Artikel</t>
  </si>
  <si>
    <t xml:space="preserve">Weitere Limit-Erhöhungen je Monat. Kategorien verbreitern (Garten ab Februar, Fitness ab Januar). Retourenquote und Gewinn je Kategorie auswerten, Verlierer rauswerfen.</t>
  </si>
  <si>
    <t xml:space="preserve">Monat 4 bis 6</t>
  </si>
  <si>
    <t xml:space="preserve">1000 Artikel am ersten Tag sind nicht möglich</t>
  </si>
  <si>
    <t xml:space="preserve">eBay begrenzt neue Konten auf wenige Artikel pro Monat und hebt das nur schrittweise bei guten Kennzahlen an. Quelle: ebay.de/help/selling/listings/selling-limits?id=4107. Massenhaftes automatisiertes Einstellen per Browser-Skript verstößt zudem gegen die Nutzungsbedingungen. Der Weg führt über Limit-Erhöhungen plus CSV-Upload oder Tool.</t>
  </si>
  <si>
    <t xml:space="preserve">Pflichten beim gewerblichen Verkauf (Deutschland)</t>
  </si>
  <si>
    <t xml:space="preserve">Gewerbeanmeldung beim Gewerbeamt, danach steuerliche Erfassung beim Finanzamt (Kleinunternehmerregelung möglich bis 25.000 € Vorjahresumsatz).</t>
  </si>
  <si>
    <t xml:space="preserve">Impressum und Widerrufsbelehrung in jedem Angebot (eBay-Rahmenbedingungen und Impressumsfeld im Verkäuferkonto).</t>
  </si>
  <si>
    <t xml:space="preserve">Verpackungsregister LUCID: Registrierung Pflicht, auch wenn der Lieferant versendet. Lizenzierung über ein duales System, bei Dropshipping oft über den Lieferanten, vorher klären.</t>
  </si>
  <si>
    <t xml:space="preserve">GPSR seit 13.12.2024: In jedem Angebot Hersteller mit Adresse und EU-Verantwortlichem, Sicherheitshinweise, Warnhinweise. eBay hat dafür Pflichtfelder im Angebot.</t>
  </si>
  <si>
    <t xml:space="preserve">Rechnungspflicht gegenüber Käufern, Aufbewahrung 10 Jahre.</t>
  </si>
  <si>
    <t xml:space="preserve">Datenschutz: Käuferdaten dürfen zur Vertragserfüllung an den Lieferanten gehen. Datenschutzerklärung mit Nennung des Lieferanten als Empfänger (Vorlage liegt im Repo privacy unter ebay/datenschutz.html).</t>
  </si>
</sst>
</file>

<file path=xl/styles.xml><?xml version="1.0" encoding="utf-8"?>
<styleSheet xmlns="http://schemas.openxmlformats.org/spreadsheetml/2006/main">
  <numFmts count="6">
    <numFmt numFmtId="164" formatCode="General"/>
    <numFmt numFmtId="165" formatCode="#,##0"/>
    <numFmt numFmtId="166" formatCode="#,##0.00"/>
    <numFmt numFmtId="167" formatCode="0.0%"/>
    <numFmt numFmtId="168" formatCode="0"/>
    <numFmt numFmtId="169" formatCode="General"/>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1"/>
      <name val="Arial"/>
      <family val="0"/>
      <charset val="1"/>
    </font>
    <font>
      <b val="true"/>
      <sz val="13"/>
      <name val="Arial"/>
      <family val="0"/>
      <charset val="1"/>
    </font>
    <font>
      <b val="true"/>
      <sz val="11"/>
      <color rgb="FFFFFFFF"/>
      <name val="Arial"/>
      <family val="0"/>
      <charset val="1"/>
    </font>
    <font>
      <sz val="11"/>
      <color rgb="FF0000FF"/>
      <name val="Arial"/>
      <family val="0"/>
      <charset val="1"/>
    </font>
    <font>
      <i val="true"/>
      <sz val="9"/>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C6EFCE"/>
        <bgColor rgb="FFCCFFFF"/>
      </patternFill>
    </fill>
    <fill>
      <patternFill patternType="solid">
        <fgColor rgb="FFFFE699"/>
        <bgColor rgb="FFF8CBAD"/>
      </patternFill>
    </fill>
    <fill>
      <patternFill patternType="solid">
        <fgColor rgb="FFF8CBAD"/>
        <bgColor rgb="FFFFE69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general" vertical="top" textRotation="0" wrapText="true" indent="0" shrinkToFit="false"/>
      <protection locked="true" hidden="false"/>
    </xf>
    <xf numFmtId="167" fontId="9" fillId="3"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6" fontId="9" fillId="3" borderId="1" xfId="0" applyFont="true" applyBorder="true" applyAlignment="false" applyProtection="false">
      <alignment horizontal="general" vertical="bottom" textRotation="0" wrapText="false" indent="0" shrinkToFit="false"/>
      <protection locked="true" hidden="false"/>
    </xf>
    <xf numFmtId="168" fontId="9" fillId="3"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6" fontId="9" fillId="3" borderId="1" xfId="0" applyFont="true" applyBorder="true" applyAlignment="true" applyProtection="false">
      <alignment horizontal="general" vertical="top" textRotation="0" wrapText="true" indent="0" shrinkToFit="false"/>
      <protection locked="true" hidden="false"/>
    </xf>
    <xf numFmtId="166" fontId="0" fillId="0" borderId="1" xfId="0" applyFont="false" applyBorder="true" applyAlignment="true" applyProtection="false">
      <alignment horizontal="general" vertical="top" textRotation="0" wrapText="true" indent="0" shrinkToFit="false"/>
      <protection locked="true" hidden="false"/>
    </xf>
    <xf numFmtId="167" fontId="0" fillId="0" borderId="1" xfId="0" applyFont="false" applyBorder="true" applyAlignment="true" applyProtection="false">
      <alignment horizontal="general" vertical="top" textRotation="0" wrapText="true" indent="0" shrinkToFit="false"/>
      <protection locked="true" hidden="false"/>
    </xf>
    <xf numFmtId="164" fontId="0" fillId="4" borderId="1" xfId="0" applyFont="true" applyBorder="true" applyAlignment="true" applyProtection="false">
      <alignment horizontal="general" vertical="top" textRotation="0" wrapText="true" indent="0" shrinkToFit="false"/>
      <protection locked="true" hidden="false"/>
    </xf>
    <xf numFmtId="164" fontId="0" fillId="5" borderId="1" xfId="0" applyFont="true" applyBorder="true" applyAlignment="true" applyProtection="false">
      <alignment horizontal="general" vertical="top" textRotation="0" wrapText="true" indent="0" shrinkToFit="false"/>
      <protection locked="true" hidden="false"/>
    </xf>
    <xf numFmtId="164" fontId="0" fillId="6" borderId="1" xfId="0" applyFont="true" applyBorder="true" applyAlignment="true" applyProtection="false">
      <alignment horizontal="general" vertical="top" textRotation="0" wrapText="tru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10"/>
  </cols>
  <sheetData>
    <row r="1" customFormat="false" ht="17.35" hidden="false" customHeight="false" outlineLevel="0" collapsed="false">
      <c r="B1" s="1" t="s">
        <v>0</v>
      </c>
    </row>
    <row r="2" customFormat="false" ht="26.85" hidden="false" customHeight="false" outlineLevel="0" collapsed="false">
      <c r="B2" s="2" t="s">
        <v>1</v>
      </c>
    </row>
    <row r="3" customFormat="false" ht="15" hidden="false" customHeight="false" outlineLevel="0" collapsed="false">
      <c r="B3" s="2"/>
    </row>
    <row r="4" customFormat="false" ht="15" hidden="false" customHeight="false" outlineLevel="0" collapsed="false">
      <c r="B4" s="3" t="s">
        <v>2</v>
      </c>
    </row>
    <row r="5" customFormat="false" ht="39.55" hidden="false" customHeight="false" outlineLevel="0" collapsed="false">
      <c r="B5" s="2" t="s">
        <v>3</v>
      </c>
    </row>
    <row r="6" customFormat="false" ht="15" hidden="false" customHeight="false" outlineLevel="0" collapsed="false">
      <c r="B6" s="2"/>
    </row>
    <row r="7" customFormat="false" ht="15" hidden="false" customHeight="false" outlineLevel="0" collapsed="false">
      <c r="B7" s="3" t="s">
        <v>4</v>
      </c>
    </row>
    <row r="8" customFormat="false" ht="52.2" hidden="false" customHeight="false" outlineLevel="0" collapsed="false">
      <c r="B8" s="2" t="s">
        <v>5</v>
      </c>
    </row>
    <row r="9" customFormat="false" ht="39.55" hidden="false" customHeight="false" outlineLevel="0" collapsed="false">
      <c r="B9" s="2" t="s">
        <v>6</v>
      </c>
    </row>
    <row r="10" customFormat="false" ht="52.2" hidden="false" customHeight="false" outlineLevel="0" collapsed="false">
      <c r="B10" s="2" t="s">
        <v>7</v>
      </c>
    </row>
    <row r="11" customFormat="false" ht="26.85" hidden="false" customHeight="false" outlineLevel="0" collapsed="false">
      <c r="B11" s="3" t="s">
        <v>8</v>
      </c>
    </row>
    <row r="12" customFormat="false" ht="15" hidden="false" customHeight="false" outlineLevel="0" collapsed="false">
      <c r="B12" s="2"/>
    </row>
    <row r="13" customFormat="false" ht="15" hidden="false" customHeight="false" outlineLevel="0" collapsed="false">
      <c r="B13" s="3" t="s">
        <v>9</v>
      </c>
    </row>
    <row r="14" customFormat="false" ht="15" hidden="false" customHeight="false" outlineLevel="0" collapsed="false">
      <c r="B14" s="2" t="s">
        <v>10</v>
      </c>
    </row>
    <row r="15" customFormat="false" ht="26.85" hidden="false" customHeight="false" outlineLevel="0" collapsed="false">
      <c r="B15" s="2" t="s">
        <v>11</v>
      </c>
    </row>
    <row r="16" customFormat="false" ht="15" hidden="false" customHeight="false" outlineLevel="0" collapsed="false">
      <c r="B16" s="2" t="s">
        <v>12</v>
      </c>
    </row>
    <row r="17" customFormat="false" ht="15" hidden="false" customHeight="false" outlineLevel="0" collapsed="false">
      <c r="B17" s="2" t="s">
        <v>13</v>
      </c>
    </row>
    <row r="18" customFormat="false" ht="15" hidden="false" customHeight="false" outlineLevel="0" collapsed="false">
      <c r="B18" s="2"/>
    </row>
    <row r="19" customFormat="false" ht="15" hidden="false" customHeight="false" outlineLevel="0" collapsed="false">
      <c r="B19" s="3" t="s">
        <v>14</v>
      </c>
    </row>
    <row r="20" customFormat="false" ht="39.55" hidden="false" customHeight="false" outlineLevel="0" collapsed="false">
      <c r="B20" s="2" t="s">
        <v>15</v>
      </c>
    </row>
    <row r="21" customFormat="false" ht="15" hidden="false" customHeight="false" outlineLevel="0" collapsed="false">
      <c r="B21" s="2"/>
    </row>
    <row r="22" customFormat="false" ht="15" hidden="false" customHeight="false" outlineLevel="0" collapsed="false">
      <c r="B22" s="3" t="s">
        <v>16</v>
      </c>
    </row>
    <row r="23" customFormat="false" ht="26.85" hidden="false" customHeight="false" outlineLevel="0" collapsed="false">
      <c r="B23" s="2" t="s">
        <v>17</v>
      </c>
    </row>
    <row r="24" customFormat="false" ht="15" hidden="false" customHeight="false" outlineLevel="0" collapsed="false">
      <c r="B24" s="2" t="s">
        <v>18</v>
      </c>
    </row>
    <row r="25" customFormat="false" ht="26.85" hidden="false" customHeight="false" outlineLevel="0" collapsed="false">
      <c r="B25" s="2"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16"/>
    <col collapsed="false" customWidth="true" hidden="false" outlineLevel="0" max="4" min="4" style="0" width="22"/>
    <col collapsed="false" customWidth="true" hidden="false" outlineLevel="0" max="5" min="5" style="0" width="34"/>
    <col collapsed="false" customWidth="true" hidden="false" outlineLevel="0" max="6" min="6" style="0" width="40"/>
  </cols>
  <sheetData>
    <row r="1" customFormat="false" ht="16.15" hidden="false" customHeight="false" outlineLevel="0" collapsed="false">
      <c r="A1" s="4" t="s">
        <v>20</v>
      </c>
    </row>
    <row r="2" customFormat="false" ht="15" hidden="false" customHeight="false" outlineLevel="0" collapsed="false">
      <c r="A2" s="5" t="s">
        <v>21</v>
      </c>
    </row>
    <row r="4" customFormat="false" ht="26.85" hidden="false" customHeight="false" outlineLevel="0" collapsed="false">
      <c r="A4" s="6" t="s">
        <v>22</v>
      </c>
      <c r="B4" s="6" t="s">
        <v>23</v>
      </c>
      <c r="C4" s="6" t="s">
        <v>24</v>
      </c>
      <c r="D4" s="6" t="s">
        <v>25</v>
      </c>
      <c r="E4" s="6" t="s">
        <v>26</v>
      </c>
      <c r="F4" s="6" t="s">
        <v>27</v>
      </c>
    </row>
    <row r="5" customFormat="false" ht="52.2" hidden="false" customHeight="false" outlineLevel="0" collapsed="false">
      <c r="A5" s="7" t="s">
        <v>28</v>
      </c>
      <c r="B5" s="8" t="n">
        <v>172000</v>
      </c>
      <c r="C5" s="7" t="s">
        <v>29</v>
      </c>
      <c r="D5" s="7" t="s">
        <v>30</v>
      </c>
      <c r="E5" s="7" t="s">
        <v>31</v>
      </c>
      <c r="F5" s="7" t="s">
        <v>32</v>
      </c>
    </row>
    <row r="6" customFormat="false" ht="26.85" hidden="false" customHeight="false" outlineLevel="0" collapsed="false">
      <c r="A6" s="7" t="s">
        <v>33</v>
      </c>
      <c r="B6" s="8" t="n">
        <v>52400</v>
      </c>
      <c r="C6" s="7" t="s">
        <v>29</v>
      </c>
      <c r="D6" s="7" t="s">
        <v>34</v>
      </c>
      <c r="E6" s="7" t="s">
        <v>35</v>
      </c>
      <c r="F6" s="7" t="s">
        <v>32</v>
      </c>
    </row>
    <row r="7" customFormat="false" ht="39.55" hidden="false" customHeight="false" outlineLevel="0" collapsed="false">
      <c r="A7" s="7" t="s">
        <v>36</v>
      </c>
      <c r="B7" s="8" t="n">
        <v>43700</v>
      </c>
      <c r="C7" s="7" t="s">
        <v>37</v>
      </c>
      <c r="D7" s="7" t="s">
        <v>38</v>
      </c>
      <c r="E7" s="7" t="s">
        <v>39</v>
      </c>
      <c r="F7" s="7" t="s">
        <v>32</v>
      </c>
    </row>
    <row r="8" customFormat="false" ht="39.55" hidden="false" customHeight="false" outlineLevel="0" collapsed="false">
      <c r="A8" s="7" t="s">
        <v>40</v>
      </c>
      <c r="B8" s="8" t="n">
        <v>28600</v>
      </c>
      <c r="C8" s="7" t="s">
        <v>37</v>
      </c>
      <c r="D8" s="7" t="s">
        <v>38</v>
      </c>
      <c r="E8" s="7" t="s">
        <v>41</v>
      </c>
      <c r="F8" s="7" t="s">
        <v>32</v>
      </c>
    </row>
    <row r="9" customFormat="false" ht="39.55" hidden="false" customHeight="false" outlineLevel="0" collapsed="false">
      <c r="A9" s="7" t="s">
        <v>42</v>
      </c>
      <c r="B9" s="8" t="n">
        <v>27000</v>
      </c>
      <c r="C9" s="7" t="s">
        <v>43</v>
      </c>
      <c r="D9" s="7" t="s">
        <v>44</v>
      </c>
      <c r="E9" s="7" t="s">
        <v>45</v>
      </c>
      <c r="F9" s="7" t="s">
        <v>32</v>
      </c>
    </row>
    <row r="10" customFormat="false" ht="39.55" hidden="false" customHeight="false" outlineLevel="0" collapsed="false">
      <c r="A10" s="7" t="s">
        <v>46</v>
      </c>
      <c r="B10" s="8" t="n">
        <v>22400</v>
      </c>
      <c r="C10" s="7" t="s">
        <v>37</v>
      </c>
      <c r="D10" s="7" t="s">
        <v>47</v>
      </c>
      <c r="E10" s="7" t="s">
        <v>48</v>
      </c>
      <c r="F10" s="7" t="s">
        <v>32</v>
      </c>
    </row>
    <row r="11" customFormat="false" ht="39.55" hidden="false" customHeight="false" outlineLevel="0" collapsed="false">
      <c r="A11" s="7" t="s">
        <v>49</v>
      </c>
      <c r="B11" s="8" t="n">
        <v>18600</v>
      </c>
      <c r="C11" s="7" t="s">
        <v>43</v>
      </c>
      <c r="D11" s="7" t="s">
        <v>50</v>
      </c>
      <c r="E11" s="7" t="s">
        <v>51</v>
      </c>
      <c r="F11" s="7" t="s">
        <v>32</v>
      </c>
    </row>
    <row r="12" customFormat="false" ht="26.85" hidden="false" customHeight="false" outlineLevel="0" collapsed="false">
      <c r="A12" s="7" t="s">
        <v>52</v>
      </c>
      <c r="B12" s="8" t="n">
        <v>18000</v>
      </c>
      <c r="C12" s="7" t="s">
        <v>43</v>
      </c>
      <c r="D12" s="7" t="s">
        <v>44</v>
      </c>
      <c r="E12" s="7" t="s">
        <v>53</v>
      </c>
      <c r="F12" s="7" t="s">
        <v>32</v>
      </c>
    </row>
    <row r="13" customFormat="false" ht="39.55" hidden="false" customHeight="false" outlineLevel="0" collapsed="false">
      <c r="A13" s="7" t="s">
        <v>54</v>
      </c>
      <c r="B13" s="8" t="n">
        <v>11200</v>
      </c>
      <c r="C13" s="7" t="s">
        <v>43</v>
      </c>
      <c r="D13" s="7" t="s">
        <v>55</v>
      </c>
      <c r="E13" s="7" t="s">
        <v>56</v>
      </c>
      <c r="F13" s="7" t="s">
        <v>32</v>
      </c>
    </row>
    <row r="14" customFormat="false" ht="15" hidden="false" customHeight="false" outlineLevel="0" collapsed="false">
      <c r="A14" s="7" t="s">
        <v>57</v>
      </c>
      <c r="B14" s="8" t="n">
        <v>7500</v>
      </c>
      <c r="C14" s="7" t="s">
        <v>29</v>
      </c>
      <c r="D14" s="7" t="s">
        <v>58</v>
      </c>
      <c r="E14" s="7" t="s">
        <v>59</v>
      </c>
      <c r="F14" s="7" t="s">
        <v>32</v>
      </c>
    </row>
    <row r="15" customFormat="false" ht="26.85" hidden="false" customHeight="false" outlineLevel="0" collapsed="false">
      <c r="A15" s="7" t="s">
        <v>60</v>
      </c>
      <c r="B15" s="8" t="n">
        <v>4000</v>
      </c>
      <c r="C15" s="7" t="s">
        <v>43</v>
      </c>
      <c r="D15" s="7" t="s">
        <v>38</v>
      </c>
      <c r="E15" s="7" t="s">
        <v>61</v>
      </c>
      <c r="F15" s="7" t="s">
        <v>32</v>
      </c>
    </row>
    <row r="17" customFormat="false" ht="15" hidden="false" customHeight="false" outlineLevel="0" collapsed="false">
      <c r="A17" s="9" t="s">
        <v>62</v>
      </c>
    </row>
    <row r="18" customFormat="false" ht="26.85" hidden="false" customHeight="false" outlineLevel="0" collapsed="false">
      <c r="A18" s="6" t="s">
        <v>63</v>
      </c>
      <c r="B18" s="6" t="s">
        <v>64</v>
      </c>
      <c r="C18" s="6" t="s">
        <v>65</v>
      </c>
      <c r="D18" s="6" t="s">
        <v>66</v>
      </c>
      <c r="E18" s="6" t="s">
        <v>67</v>
      </c>
      <c r="F18" s="6" t="s">
        <v>27</v>
      </c>
    </row>
    <row r="19" customFormat="false" ht="39.55" hidden="false" customHeight="false" outlineLevel="0" collapsed="false">
      <c r="A19" s="7" t="s">
        <v>68</v>
      </c>
      <c r="B19" s="10" t="n">
        <v>1.49</v>
      </c>
      <c r="C19" s="7" t="s">
        <v>69</v>
      </c>
      <c r="D19" s="7" t="s">
        <v>70</v>
      </c>
      <c r="E19" s="7" t="s">
        <v>71</v>
      </c>
      <c r="F19" s="7" t="s">
        <v>72</v>
      </c>
    </row>
    <row r="20" customFormat="false" ht="39.55" hidden="false" customHeight="false" outlineLevel="0" collapsed="false">
      <c r="A20" s="7" t="s">
        <v>73</v>
      </c>
      <c r="B20" s="10" t="n">
        <v>5.99</v>
      </c>
      <c r="C20" s="7" t="s">
        <v>69</v>
      </c>
      <c r="D20" s="7" t="s">
        <v>74</v>
      </c>
      <c r="E20" s="7" t="s">
        <v>75</v>
      </c>
      <c r="F20" s="7" t="s">
        <v>72</v>
      </c>
    </row>
    <row r="21" customFormat="false" ht="39.55" hidden="false" customHeight="false" outlineLevel="0" collapsed="false">
      <c r="A21" s="7" t="s">
        <v>76</v>
      </c>
      <c r="B21" s="10" t="n">
        <v>5.99</v>
      </c>
      <c r="C21" s="7" t="s">
        <v>69</v>
      </c>
      <c r="D21" s="7" t="s">
        <v>74</v>
      </c>
      <c r="E21" s="7" t="s">
        <v>77</v>
      </c>
      <c r="F21" s="7" t="s">
        <v>72</v>
      </c>
    </row>
    <row r="22" customFormat="false" ht="39.55" hidden="false" customHeight="false" outlineLevel="0" collapsed="false">
      <c r="A22" s="7" t="s">
        <v>78</v>
      </c>
      <c r="B22" s="10" t="n">
        <v>34.99</v>
      </c>
      <c r="C22" s="7" t="s">
        <v>69</v>
      </c>
      <c r="D22" s="7" t="s">
        <v>79</v>
      </c>
      <c r="E22" s="7" t="s">
        <v>80</v>
      </c>
      <c r="F22" s="7" t="s">
        <v>72</v>
      </c>
    </row>
    <row r="23" customFormat="false" ht="39.55" hidden="false" customHeight="false" outlineLevel="0" collapsed="false">
      <c r="A23" s="7" t="s">
        <v>81</v>
      </c>
      <c r="B23" s="10" t="n">
        <v>20.9</v>
      </c>
      <c r="C23" s="7" t="s">
        <v>69</v>
      </c>
      <c r="D23" s="7" t="s">
        <v>79</v>
      </c>
      <c r="E23" s="7" t="s">
        <v>82</v>
      </c>
      <c r="F23" s="7" t="s">
        <v>72</v>
      </c>
    </row>
    <row r="24" customFormat="false" ht="39.55" hidden="false" customHeight="false" outlineLevel="0" collapsed="false">
      <c r="A24" s="7" t="s">
        <v>83</v>
      </c>
      <c r="B24" s="10" t="n">
        <v>27.99</v>
      </c>
      <c r="C24" s="7" t="s">
        <v>84</v>
      </c>
      <c r="D24" s="7" t="s">
        <v>79</v>
      </c>
      <c r="E24" s="7" t="s">
        <v>85</v>
      </c>
      <c r="F24" s="7" t="s">
        <v>72</v>
      </c>
    </row>
    <row r="25" customFormat="false" ht="26.85" hidden="false" customHeight="false" outlineLevel="0" collapsed="false">
      <c r="A25" s="7" t="s">
        <v>86</v>
      </c>
      <c r="B25" s="10" t="n">
        <v>39.9</v>
      </c>
      <c r="C25" s="7" t="s">
        <v>87</v>
      </c>
      <c r="D25" s="7" t="s">
        <v>79</v>
      </c>
      <c r="E25" s="7" t="s">
        <v>88</v>
      </c>
      <c r="F25" s="7" t="s">
        <v>89</v>
      </c>
    </row>
    <row r="26" customFormat="false" ht="39.55" hidden="false" customHeight="false" outlineLevel="0" collapsed="false">
      <c r="A26" s="7" t="s">
        <v>90</v>
      </c>
      <c r="B26" s="10" t="n">
        <v>21.9</v>
      </c>
      <c r="C26" s="7" t="s">
        <v>87</v>
      </c>
      <c r="D26" s="7" t="s">
        <v>79</v>
      </c>
      <c r="E26" s="7" t="s">
        <v>91</v>
      </c>
      <c r="F26" s="7" t="s">
        <v>89</v>
      </c>
    </row>
    <row r="27" customFormat="false" ht="26.85" hidden="false" customHeight="false" outlineLevel="0" collapsed="false">
      <c r="A27" s="7" t="s">
        <v>92</v>
      </c>
      <c r="B27" s="10" t="n">
        <v>23.9</v>
      </c>
      <c r="C27" s="7" t="s">
        <v>87</v>
      </c>
      <c r="D27" s="7" t="s">
        <v>79</v>
      </c>
      <c r="E27" s="7" t="s">
        <v>93</v>
      </c>
      <c r="F27" s="7" t="s">
        <v>89</v>
      </c>
    </row>
    <row r="28" customFormat="false" ht="39.55" hidden="false" customHeight="false" outlineLevel="0" collapsed="false">
      <c r="A28" s="7" t="s">
        <v>94</v>
      </c>
      <c r="B28" s="10" t="n">
        <v>8.95</v>
      </c>
      <c r="C28" s="7" t="s">
        <v>87</v>
      </c>
      <c r="D28" s="7" t="s">
        <v>74</v>
      </c>
      <c r="E28" s="7" t="s">
        <v>95</v>
      </c>
      <c r="F28" s="7" t="s">
        <v>89</v>
      </c>
    </row>
    <row r="29" customFormat="false" ht="39.55" hidden="false" customHeight="false" outlineLevel="0" collapsed="false">
      <c r="A29" s="7" t="s">
        <v>96</v>
      </c>
      <c r="B29" s="10" t="n">
        <v>75</v>
      </c>
      <c r="C29" s="7" t="s">
        <v>97</v>
      </c>
      <c r="D29" s="7" t="s">
        <v>98</v>
      </c>
      <c r="E29" s="7" t="s">
        <v>99</v>
      </c>
      <c r="F29" s="7" t="s">
        <v>100</v>
      </c>
    </row>
    <row r="30" customFormat="false" ht="26.85" hidden="false" customHeight="false" outlineLevel="0" collapsed="false">
      <c r="A30" s="7" t="s">
        <v>101</v>
      </c>
      <c r="B30" s="10" t="n">
        <v>22.18</v>
      </c>
      <c r="C30" s="7" t="s">
        <v>102</v>
      </c>
      <c r="D30" s="7" t="s">
        <v>79</v>
      </c>
      <c r="E30" s="7" t="s">
        <v>103</v>
      </c>
      <c r="F30" s="7" t="s">
        <v>100</v>
      </c>
    </row>
    <row r="32" customFormat="false" ht="15" hidden="false" customHeight="false" outlineLevel="0" collapsed="false">
      <c r="A32" s="9" t="s">
        <v>104</v>
      </c>
    </row>
    <row r="33" customFormat="false" ht="26.85" hidden="false" customHeight="false" outlineLevel="0" collapsed="false">
      <c r="A33" s="6" t="s">
        <v>65</v>
      </c>
      <c r="B33" s="6" t="s">
        <v>105</v>
      </c>
      <c r="C33" s="6" t="s">
        <v>106</v>
      </c>
      <c r="D33" s="6" t="s">
        <v>107</v>
      </c>
      <c r="E33" s="6" t="s">
        <v>108</v>
      </c>
      <c r="F33" s="6" t="s">
        <v>109</v>
      </c>
    </row>
    <row r="34" customFormat="false" ht="39.55" hidden="false" customHeight="false" outlineLevel="0" collapsed="false">
      <c r="A34" s="7" t="s">
        <v>110</v>
      </c>
      <c r="B34" s="7" t="s">
        <v>111</v>
      </c>
      <c r="C34" s="7" t="s">
        <v>112</v>
      </c>
      <c r="D34" s="7" t="s">
        <v>113</v>
      </c>
      <c r="E34" s="7" t="s">
        <v>114</v>
      </c>
      <c r="F34" s="7" t="s">
        <v>115</v>
      </c>
    </row>
    <row r="35" customFormat="false" ht="26.85" hidden="false" customHeight="false" outlineLevel="0" collapsed="false">
      <c r="A35" s="7" t="s">
        <v>116</v>
      </c>
      <c r="B35" s="7" t="s">
        <v>117</v>
      </c>
      <c r="C35" s="7" t="s">
        <v>118</v>
      </c>
      <c r="D35" s="7" t="s">
        <v>119</v>
      </c>
      <c r="E35" s="7" t="s">
        <v>120</v>
      </c>
      <c r="F35" s="7" t="s">
        <v>121</v>
      </c>
    </row>
    <row r="36" customFormat="false" ht="26.85" hidden="false" customHeight="false" outlineLevel="0" collapsed="false">
      <c r="A36" s="7" t="s">
        <v>122</v>
      </c>
      <c r="B36" s="7" t="s">
        <v>123</v>
      </c>
      <c r="C36" s="7" t="s">
        <v>118</v>
      </c>
      <c r="D36" s="7" t="s">
        <v>124</v>
      </c>
      <c r="E36" s="7" t="s">
        <v>125</v>
      </c>
      <c r="F36" s="7" t="s">
        <v>126</v>
      </c>
    </row>
    <row r="37" customFormat="false" ht="26.85" hidden="false" customHeight="false" outlineLevel="0" collapsed="false">
      <c r="A37" s="7" t="s">
        <v>127</v>
      </c>
      <c r="B37" s="7" t="s">
        <v>128</v>
      </c>
      <c r="C37" s="7" t="s">
        <v>129</v>
      </c>
      <c r="D37" s="7" t="s">
        <v>130</v>
      </c>
      <c r="E37" s="7" t="s">
        <v>131</v>
      </c>
      <c r="F37" s="7" t="s">
        <v>132</v>
      </c>
    </row>
    <row r="38" customFormat="false" ht="26.85" hidden="false" customHeight="false" outlineLevel="0" collapsed="false">
      <c r="A38" s="7" t="s">
        <v>133</v>
      </c>
      <c r="B38" s="7" t="s">
        <v>123</v>
      </c>
      <c r="C38" s="7" t="s">
        <v>134</v>
      </c>
      <c r="D38" s="7" t="s">
        <v>119</v>
      </c>
      <c r="E38" s="7" t="s">
        <v>135</v>
      </c>
      <c r="F38" s="7" t="s">
        <v>136</v>
      </c>
    </row>
    <row r="39" customFormat="false" ht="26.85" hidden="false" customHeight="false" outlineLevel="0" collapsed="false">
      <c r="A39" s="7" t="s">
        <v>137</v>
      </c>
      <c r="B39" s="7" t="s">
        <v>138</v>
      </c>
      <c r="C39" s="7" t="s">
        <v>112</v>
      </c>
      <c r="D39" s="7" t="s">
        <v>139</v>
      </c>
      <c r="E39" s="7" t="s">
        <v>140</v>
      </c>
      <c r="F39" s="7" t="s">
        <v>141</v>
      </c>
    </row>
    <row r="40" customFormat="false" ht="26.85" hidden="false" customHeight="false" outlineLevel="0" collapsed="false">
      <c r="A40" s="7" t="s">
        <v>142</v>
      </c>
      <c r="B40" s="7" t="s">
        <v>128</v>
      </c>
      <c r="C40" s="7" t="s">
        <v>112</v>
      </c>
      <c r="D40" s="7" t="s">
        <v>143</v>
      </c>
      <c r="E40" s="7" t="s">
        <v>144</v>
      </c>
      <c r="F40" s="7" t="s">
        <v>145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3" topLeftCell="C14" activePane="bottomRight" state="frozen"/>
      <selection pane="topLeft" activeCell="A1" activeCellId="0" sqref="A1"/>
      <selection pane="topRight" activeCell="C1" activeCellId="0" sqref="C1"/>
      <selection pane="bottomLeft" activeCell="A14" activeCellId="0" sqref="A1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6"/>
    <col collapsed="false" customWidth="true" hidden="false" outlineLevel="0" max="3" min="3" style="0" width="18"/>
    <col collapsed="false" customWidth="true" hidden="false" outlineLevel="0" max="4" min="4" style="0" width="26"/>
    <col collapsed="false" customWidth="true" hidden="false" outlineLevel="0" max="5" min="5" style="0" width="18"/>
    <col collapsed="false" customWidth="true" hidden="false" outlineLevel="0" max="13" min="6" style="0" width="11"/>
    <col collapsed="false" customWidth="true" hidden="false" outlineLevel="0" max="14" min="14" style="0" width="10"/>
    <col collapsed="false" customWidth="true" hidden="false" outlineLevel="0" max="15" min="15" style="0" width="9"/>
    <col collapsed="false" customWidth="true" hidden="false" outlineLevel="0" max="16" min="16" style="0" width="36"/>
  </cols>
  <sheetData>
    <row r="1" customFormat="false" ht="16.15" hidden="false" customHeight="false" outlineLevel="0" collapsed="false">
      <c r="A1" s="4" t="s">
        <v>146</v>
      </c>
    </row>
    <row r="2" customFormat="false" ht="15" hidden="false" customHeight="false" outlineLevel="0" collapsed="false">
      <c r="A2" s="5" t="s">
        <v>147</v>
      </c>
    </row>
    <row r="4" customFormat="false" ht="15" hidden="false" customHeight="false" outlineLevel="0" collapsed="false">
      <c r="B4" s="9" t="s">
        <v>148</v>
      </c>
    </row>
    <row r="5" customFormat="false" ht="64.15" hidden="false" customHeight="false" outlineLevel="0" collapsed="false">
      <c r="B5" s="5" t="s">
        <v>149</v>
      </c>
      <c r="C5" s="11" t="n">
        <v>0.13</v>
      </c>
      <c r="D5" s="12" t="s">
        <v>150</v>
      </c>
    </row>
    <row r="6" customFormat="false" ht="32.8" hidden="false" customHeight="false" outlineLevel="0" collapsed="false">
      <c r="B6" s="5" t="s">
        <v>151</v>
      </c>
      <c r="C6" s="13" t="n">
        <v>0.35</v>
      </c>
      <c r="D6" s="12" t="s">
        <v>152</v>
      </c>
    </row>
    <row r="7" customFormat="false" ht="32.8" hidden="false" customHeight="false" outlineLevel="0" collapsed="false">
      <c r="B7" s="5" t="s">
        <v>153</v>
      </c>
      <c r="C7" s="11" t="n">
        <v>0.19</v>
      </c>
      <c r="D7" s="12" t="s">
        <v>154</v>
      </c>
    </row>
    <row r="8" customFormat="false" ht="22.35" hidden="false" customHeight="false" outlineLevel="0" collapsed="false">
      <c r="B8" s="5" t="s">
        <v>155</v>
      </c>
      <c r="C8" s="14" t="n">
        <v>1</v>
      </c>
      <c r="D8" s="12" t="s">
        <v>156</v>
      </c>
    </row>
    <row r="9" customFormat="false" ht="22.35" hidden="false" customHeight="false" outlineLevel="0" collapsed="false">
      <c r="B9" s="5" t="s">
        <v>157</v>
      </c>
      <c r="C9" s="11" t="n">
        <v>0.04</v>
      </c>
      <c r="D9" s="12" t="s">
        <v>158</v>
      </c>
    </row>
    <row r="10" customFormat="false" ht="15" hidden="false" customHeight="false" outlineLevel="0" collapsed="false">
      <c r="B10" s="5" t="s">
        <v>159</v>
      </c>
      <c r="C10" s="11" t="n">
        <v>0.2</v>
      </c>
      <c r="D10" s="12" t="s">
        <v>160</v>
      </c>
    </row>
    <row r="13" customFormat="false" ht="45" hidden="false" customHeight="true" outlineLevel="0" collapsed="false">
      <c r="A13" s="6" t="s">
        <v>161</v>
      </c>
      <c r="B13" s="6" t="s">
        <v>162</v>
      </c>
      <c r="C13" s="6" t="s">
        <v>65</v>
      </c>
      <c r="D13" s="6" t="s">
        <v>163</v>
      </c>
      <c r="E13" s="6" t="s">
        <v>164</v>
      </c>
      <c r="F13" s="6" t="s">
        <v>165</v>
      </c>
      <c r="G13" s="6" t="s">
        <v>166</v>
      </c>
      <c r="H13" s="6" t="s">
        <v>167</v>
      </c>
      <c r="I13" s="6" t="s">
        <v>168</v>
      </c>
      <c r="J13" s="6" t="s">
        <v>169</v>
      </c>
      <c r="K13" s="6" t="s">
        <v>170</v>
      </c>
      <c r="L13" s="6" t="s">
        <v>171</v>
      </c>
      <c r="M13" s="6" t="s">
        <v>172</v>
      </c>
      <c r="N13" s="6" t="s">
        <v>173</v>
      </c>
      <c r="O13" s="6" t="s">
        <v>174</v>
      </c>
      <c r="P13" s="6" t="s">
        <v>175</v>
      </c>
    </row>
    <row r="14" customFormat="false" ht="28.35" hidden="false" customHeight="false" outlineLevel="0" collapsed="false">
      <c r="A14" s="15" t="n">
        <v>1</v>
      </c>
      <c r="B14" s="15" t="s">
        <v>176</v>
      </c>
      <c r="C14" s="15" t="s">
        <v>38</v>
      </c>
      <c r="D14" s="15" t="s">
        <v>177</v>
      </c>
      <c r="E14" s="15" t="s">
        <v>119</v>
      </c>
      <c r="F14" s="16" t="n">
        <v>4.5</v>
      </c>
      <c r="G14" s="16" t="n">
        <v>4.9</v>
      </c>
      <c r="H14" s="16" t="n">
        <v>19.99</v>
      </c>
      <c r="I14" s="17" t="n">
        <f aca="false">H14*$C$5+$C$6</f>
        <v>2.9487</v>
      </c>
      <c r="J14" s="17" t="n">
        <f aca="false">H14*$C$7/(1+$C$7)-(F14+G14)*$C$7*$C$8</f>
        <v>1.40568067226891</v>
      </c>
      <c r="K14" s="17" t="n">
        <f aca="false">H14*$C$9</f>
        <v>0.7996</v>
      </c>
      <c r="L14" s="17" t="n">
        <f aca="false">H14-F14-G14-I14-J14-K14</f>
        <v>5.43601932773109</v>
      </c>
      <c r="M14" s="18" t="n">
        <f aca="false">IF(H14=0,0,L14/H14)</f>
        <v>0.271936934853982</v>
      </c>
      <c r="N14" s="17" t="n">
        <f aca="false">($C$6+F14+G14-(F14+G14)*$C$7*$C$8)/(1-$C$5-$C$7/(1+$C$7)-$C$9-$C$10)</f>
        <v>16.9325710201894</v>
      </c>
      <c r="O14" s="19" t="s">
        <v>74</v>
      </c>
      <c r="P14" s="15" t="s">
        <v>178</v>
      </c>
    </row>
    <row r="15" customFormat="false" ht="28.35" hidden="false" customHeight="false" outlineLevel="0" collapsed="false">
      <c r="A15" s="15" t="n">
        <v>2</v>
      </c>
      <c r="B15" s="15" t="s">
        <v>179</v>
      </c>
      <c r="C15" s="15" t="s">
        <v>38</v>
      </c>
      <c r="D15" s="15" t="s">
        <v>180</v>
      </c>
      <c r="E15" s="15" t="s">
        <v>181</v>
      </c>
      <c r="F15" s="16" t="n">
        <v>5.2</v>
      </c>
      <c r="G15" s="16" t="n">
        <v>4.9</v>
      </c>
      <c r="H15" s="16" t="n">
        <v>21.99</v>
      </c>
      <c r="I15" s="17" t="n">
        <f aca="false">H15*$C$5+$C$6</f>
        <v>3.2087</v>
      </c>
      <c r="J15" s="17" t="n">
        <f aca="false">H15*$C$7/(1+$C$7)-(F15+G15)*$C$7*$C$8</f>
        <v>1.59200840336134</v>
      </c>
      <c r="K15" s="17" t="n">
        <f aca="false">H15*$C$9</f>
        <v>0.8796</v>
      </c>
      <c r="L15" s="17" t="n">
        <f aca="false">H15-F15-G15-I15-J15-K15</f>
        <v>6.20969159663865</v>
      </c>
      <c r="M15" s="18" t="n">
        <f aca="false">IF(H15=0,0,L15/H15)</f>
        <v>0.28238706669571</v>
      </c>
      <c r="N15" s="17" t="n">
        <f aca="false">($C$6+F15+G15-(F15+G15)*$C$7*$C$8)/(1-$C$5-$C$7/(1+$C$7)-$C$9-$C$10)</f>
        <v>18.1380918349116</v>
      </c>
      <c r="O15" s="20" t="s">
        <v>79</v>
      </c>
      <c r="P15" s="15" t="s">
        <v>182</v>
      </c>
    </row>
    <row r="16" customFormat="false" ht="28.35" hidden="false" customHeight="false" outlineLevel="0" collapsed="false">
      <c r="A16" s="15" t="n">
        <v>3</v>
      </c>
      <c r="B16" s="15" t="s">
        <v>183</v>
      </c>
      <c r="C16" s="15" t="s">
        <v>38</v>
      </c>
      <c r="D16" s="15" t="s">
        <v>184</v>
      </c>
      <c r="E16" s="15" t="s">
        <v>119</v>
      </c>
      <c r="F16" s="16" t="n">
        <v>6.8</v>
      </c>
      <c r="G16" s="16" t="n">
        <v>4.9</v>
      </c>
      <c r="H16" s="16" t="n">
        <v>24.99</v>
      </c>
      <c r="I16" s="17" t="n">
        <f aca="false">H16*$C$5+$C$6</f>
        <v>3.5987</v>
      </c>
      <c r="J16" s="17" t="n">
        <f aca="false">H16*$C$7/(1+$C$7)-(F16+G16)*$C$7*$C$8</f>
        <v>1.767</v>
      </c>
      <c r="K16" s="17" t="n">
        <f aca="false">H16*$C$9</f>
        <v>0.9996</v>
      </c>
      <c r="L16" s="17" t="n">
        <f aca="false">H16-F16-G16-I16-J16-K16</f>
        <v>6.9247</v>
      </c>
      <c r="M16" s="18" t="n">
        <f aca="false">IF(H16=0,0,L16/H16)</f>
        <v>0.277098839535814</v>
      </c>
      <c r="N16" s="17" t="n">
        <f aca="false">($C$6+F16+G16-(F16+G16)*$C$7*$C$8)/(1-$C$5-$C$7/(1+$C$7)-$C$9-$C$10)</f>
        <v>20.893567982848</v>
      </c>
      <c r="O16" s="19" t="s">
        <v>74</v>
      </c>
      <c r="P16" s="15" t="s">
        <v>185</v>
      </c>
    </row>
    <row r="17" customFormat="false" ht="28.35" hidden="false" customHeight="false" outlineLevel="0" collapsed="false">
      <c r="A17" s="15" t="n">
        <v>4</v>
      </c>
      <c r="B17" s="15" t="s">
        <v>186</v>
      </c>
      <c r="C17" s="15" t="s">
        <v>38</v>
      </c>
      <c r="D17" s="15" t="s">
        <v>187</v>
      </c>
      <c r="E17" s="15" t="s">
        <v>188</v>
      </c>
      <c r="F17" s="16" t="n">
        <v>32</v>
      </c>
      <c r="G17" s="16" t="n">
        <v>8.9</v>
      </c>
      <c r="H17" s="16" t="n">
        <v>79.99</v>
      </c>
      <c r="I17" s="17" t="n">
        <f aca="false">H17*$C$5+$C$6</f>
        <v>10.7487</v>
      </c>
      <c r="J17" s="17" t="n">
        <f aca="false">H17*$C$7/(1+$C$7)-(F17+G17)*$C$7*$C$8</f>
        <v>5.00051260504202</v>
      </c>
      <c r="K17" s="17" t="n">
        <f aca="false">H17*$C$9</f>
        <v>3.1996</v>
      </c>
      <c r="L17" s="17" t="n">
        <f aca="false">H17-F17-G17-I17-J17-K17</f>
        <v>20.141187394958</v>
      </c>
      <c r="M17" s="18" t="n">
        <f aca="false">IF(H17=0,0,L17/H17)</f>
        <v>0.251796316976597</v>
      </c>
      <c r="N17" s="17" t="n">
        <f aca="false">($C$6+F17+G17-(F17+G17)*$C$7*$C$8)/(1-$C$5-$C$7/(1+$C$7)-$C$9-$C$10)</f>
        <v>71.1810076826872</v>
      </c>
      <c r="O17" s="19" t="s">
        <v>74</v>
      </c>
      <c r="P17" s="15" t="s">
        <v>189</v>
      </c>
    </row>
    <row r="18" customFormat="false" ht="15" hidden="false" customHeight="false" outlineLevel="0" collapsed="false">
      <c r="A18" s="15" t="n">
        <v>5</v>
      </c>
      <c r="B18" s="15" t="s">
        <v>190</v>
      </c>
      <c r="C18" s="15" t="s">
        <v>38</v>
      </c>
      <c r="D18" s="15" t="s">
        <v>46</v>
      </c>
      <c r="E18" s="15" t="s">
        <v>119</v>
      </c>
      <c r="F18" s="16" t="n">
        <v>7.5</v>
      </c>
      <c r="G18" s="16" t="n">
        <v>4.9</v>
      </c>
      <c r="H18" s="16" t="n">
        <v>26.99</v>
      </c>
      <c r="I18" s="17" t="n">
        <f aca="false">H18*$C$5+$C$6</f>
        <v>3.8587</v>
      </c>
      <c r="J18" s="17" t="n">
        <f aca="false">H18*$C$7/(1+$C$7)-(F18+G18)*$C$7*$C$8</f>
        <v>1.95332773109244</v>
      </c>
      <c r="K18" s="17" t="n">
        <f aca="false">H18*$C$9</f>
        <v>1.0796</v>
      </c>
      <c r="L18" s="17" t="n">
        <f aca="false">H18-F18-G18-I18-J18-K18</f>
        <v>7.69837226890756</v>
      </c>
      <c r="M18" s="18" t="n">
        <f aca="false">IF(H18=0,0,L18/H18)</f>
        <v>0.285230539789091</v>
      </c>
      <c r="N18" s="17" t="n">
        <f aca="false">($C$6+F18+G18-(F18+G18)*$C$7*$C$8)/(1-$C$5-$C$7/(1+$C$7)-$C$9-$C$10)</f>
        <v>22.0990887975701</v>
      </c>
      <c r="O18" s="20" t="s">
        <v>79</v>
      </c>
      <c r="P18" s="15" t="s">
        <v>191</v>
      </c>
    </row>
    <row r="19" customFormat="false" ht="28.35" hidden="false" customHeight="false" outlineLevel="0" collapsed="false">
      <c r="A19" s="15" t="n">
        <v>6</v>
      </c>
      <c r="B19" s="15" t="s">
        <v>192</v>
      </c>
      <c r="C19" s="15" t="s">
        <v>38</v>
      </c>
      <c r="D19" s="15" t="s">
        <v>193</v>
      </c>
      <c r="E19" s="15" t="s">
        <v>119</v>
      </c>
      <c r="F19" s="16" t="n">
        <v>11</v>
      </c>
      <c r="G19" s="16" t="n">
        <v>5.9</v>
      </c>
      <c r="H19" s="16" t="n">
        <v>34.99</v>
      </c>
      <c r="I19" s="17" t="n">
        <f aca="false">H19*$C$5+$C$6</f>
        <v>4.8987</v>
      </c>
      <c r="J19" s="17" t="n">
        <f aca="false">H19*$C$7/(1+$C$7)-(F19+G19)*$C$7*$C$8</f>
        <v>2.37563865546219</v>
      </c>
      <c r="K19" s="17" t="n">
        <f aca="false">H19*$C$9</f>
        <v>1.3996</v>
      </c>
      <c r="L19" s="17" t="n">
        <f aca="false">H19-F19-G19-I19-J19-K19</f>
        <v>9.41606134453782</v>
      </c>
      <c r="M19" s="18" t="n">
        <f aca="false">IF(H19=0,0,L19/H19)</f>
        <v>0.269107211904482</v>
      </c>
      <c r="N19" s="17" t="n">
        <f aca="false">($C$6+F19+G19-(F19+G19)*$C$7*$C$8)/(1-$C$5-$C$7/(1+$C$7)-$C$9-$C$10)</f>
        <v>29.8488654636412</v>
      </c>
      <c r="O19" s="19" t="s">
        <v>74</v>
      </c>
      <c r="P19" s="15" t="s">
        <v>194</v>
      </c>
    </row>
    <row r="20" customFormat="false" ht="28.35" hidden="false" customHeight="false" outlineLevel="0" collapsed="false">
      <c r="A20" s="15" t="n">
        <v>7</v>
      </c>
      <c r="B20" s="15" t="s">
        <v>195</v>
      </c>
      <c r="C20" s="15" t="s">
        <v>87</v>
      </c>
      <c r="D20" s="15" t="s">
        <v>196</v>
      </c>
      <c r="E20" s="15" t="s">
        <v>119</v>
      </c>
      <c r="F20" s="16" t="n">
        <v>6.2</v>
      </c>
      <c r="G20" s="16" t="n">
        <v>4.9</v>
      </c>
      <c r="H20" s="16" t="n">
        <v>22.99</v>
      </c>
      <c r="I20" s="17" t="n">
        <f aca="false">H20*$C$5+$C$6</f>
        <v>3.3387</v>
      </c>
      <c r="J20" s="17" t="n">
        <f aca="false">H20*$C$7/(1+$C$7)-(F20+G20)*$C$7*$C$8</f>
        <v>1.56167226890756</v>
      </c>
      <c r="K20" s="17" t="n">
        <f aca="false">H20*$C$9</f>
        <v>0.9196</v>
      </c>
      <c r="L20" s="17" t="n">
        <f aca="false">H20-F20-G20-I20-J20-K20</f>
        <v>6.07002773109244</v>
      </c>
      <c r="M20" s="18" t="n">
        <f aca="false">IF(H20=0,0,L20/H20)</f>
        <v>0.264029044414634</v>
      </c>
      <c r="N20" s="17" t="n">
        <f aca="false">($C$6+F20+G20-(F20+G20)*$C$7*$C$8)/(1-$C$5-$C$7/(1+$C$7)-$C$9-$C$10)</f>
        <v>19.8602644273718</v>
      </c>
      <c r="O20" s="19" t="s">
        <v>74</v>
      </c>
      <c r="P20" s="15" t="s">
        <v>185</v>
      </c>
    </row>
    <row r="21" customFormat="false" ht="28.35" hidden="false" customHeight="false" outlineLevel="0" collapsed="false">
      <c r="A21" s="15" t="n">
        <v>8</v>
      </c>
      <c r="B21" s="15" t="s">
        <v>197</v>
      </c>
      <c r="C21" s="15" t="s">
        <v>87</v>
      </c>
      <c r="D21" s="15" t="s">
        <v>198</v>
      </c>
      <c r="E21" s="15" t="s">
        <v>119</v>
      </c>
      <c r="F21" s="16" t="n">
        <v>5.5</v>
      </c>
      <c r="G21" s="16" t="n">
        <v>4.9</v>
      </c>
      <c r="H21" s="16" t="n">
        <v>19.99</v>
      </c>
      <c r="I21" s="17" t="n">
        <f aca="false">H21*$C$5+$C$6</f>
        <v>2.9487</v>
      </c>
      <c r="J21" s="17" t="n">
        <f aca="false">H21*$C$7/(1+$C$7)-(F21+G21)*$C$7*$C$8</f>
        <v>1.21568067226891</v>
      </c>
      <c r="K21" s="17" t="n">
        <f aca="false">H21*$C$9</f>
        <v>0.7996</v>
      </c>
      <c r="L21" s="17" t="n">
        <f aca="false">H21-F21-G21-I21-J21-K21</f>
        <v>4.62601932773109</v>
      </c>
      <c r="M21" s="18" t="n">
        <f aca="false">IF(H21=0,0,L21/H21)</f>
        <v>0.231416674723917</v>
      </c>
      <c r="N21" s="17" t="n">
        <f aca="false">($C$6+F21+G21-(F21+G21)*$C$7*$C$8)/(1-$C$5-$C$7/(1+$C$7)-$C$9-$C$10)</f>
        <v>18.6547436126496</v>
      </c>
      <c r="O21" s="19" t="s">
        <v>74</v>
      </c>
      <c r="P21" s="15" t="s">
        <v>185</v>
      </c>
    </row>
    <row r="22" customFormat="false" ht="15" hidden="false" customHeight="false" outlineLevel="0" collapsed="false">
      <c r="A22" s="15" t="n">
        <v>9</v>
      </c>
      <c r="B22" s="15" t="s">
        <v>199</v>
      </c>
      <c r="C22" s="15" t="s">
        <v>87</v>
      </c>
      <c r="D22" s="15" t="s">
        <v>196</v>
      </c>
      <c r="E22" s="15" t="s">
        <v>119</v>
      </c>
      <c r="F22" s="16" t="n">
        <v>8.9</v>
      </c>
      <c r="G22" s="16" t="n">
        <v>4.9</v>
      </c>
      <c r="H22" s="16" t="n">
        <v>27.99</v>
      </c>
      <c r="I22" s="17" t="n">
        <f aca="false">H22*$C$5+$C$6</f>
        <v>3.9887</v>
      </c>
      <c r="J22" s="17" t="n">
        <f aca="false">H22*$C$7/(1+$C$7)-(F22+G22)*$C$7*$C$8</f>
        <v>1.84699159663865</v>
      </c>
      <c r="K22" s="17" t="n">
        <f aca="false">H22*$C$9</f>
        <v>1.1196</v>
      </c>
      <c r="L22" s="17" t="n">
        <f aca="false">H22-F22-G22-I22-J22-K22</f>
        <v>7.23470840336134</v>
      </c>
      <c r="M22" s="18" t="n">
        <f aca="false">IF(H22=0,0,L22/H22)</f>
        <v>0.25847475538983</v>
      </c>
      <c r="N22" s="17" t="n">
        <f aca="false">($C$6+F22+G22-(F22+G22)*$C$7*$C$8)/(1-$C$5-$C$7/(1+$C$7)-$C$9-$C$10)</f>
        <v>24.5101304270145</v>
      </c>
      <c r="O22" s="19" t="s">
        <v>74</v>
      </c>
      <c r="P22" s="15" t="s">
        <v>185</v>
      </c>
    </row>
    <row r="23" customFormat="false" ht="28.35" hidden="false" customHeight="false" outlineLevel="0" collapsed="false">
      <c r="A23" s="15" t="n">
        <v>10</v>
      </c>
      <c r="B23" s="15" t="s">
        <v>200</v>
      </c>
      <c r="C23" s="15" t="s">
        <v>87</v>
      </c>
      <c r="D23" s="15" t="s">
        <v>201</v>
      </c>
      <c r="E23" s="15" t="s">
        <v>119</v>
      </c>
      <c r="F23" s="16" t="n">
        <v>14.5</v>
      </c>
      <c r="G23" s="16" t="n">
        <v>5.9</v>
      </c>
      <c r="H23" s="16" t="n">
        <v>39.99</v>
      </c>
      <c r="I23" s="17" t="n">
        <f aca="false">H23*$C$5+$C$6</f>
        <v>5.5487</v>
      </c>
      <c r="J23" s="17" t="n">
        <f aca="false">H23*$C$7/(1+$C$7)-(F23+G23)*$C$7*$C$8</f>
        <v>2.50895798319328</v>
      </c>
      <c r="K23" s="17" t="n">
        <f aca="false">H23*$C$9</f>
        <v>1.5996</v>
      </c>
      <c r="L23" s="17" t="n">
        <f aca="false">H23-F23-G23-I23-J23-K23</f>
        <v>9.93274201680672</v>
      </c>
      <c r="M23" s="18" t="n">
        <f aca="false">IF(H23=0,0,L23/H23)</f>
        <v>0.248380645581563</v>
      </c>
      <c r="N23" s="17" t="n">
        <f aca="false">($C$6+F23+G23-(F23+G23)*$C$7*$C$8)/(1-$C$5-$C$7/(1+$C$7)-$C$9-$C$10)</f>
        <v>35.8764695372521</v>
      </c>
      <c r="O23" s="19" t="s">
        <v>74</v>
      </c>
      <c r="P23" s="15" t="s">
        <v>185</v>
      </c>
    </row>
    <row r="24" customFormat="false" ht="28.35" hidden="false" customHeight="false" outlineLevel="0" collapsed="false">
      <c r="A24" s="15" t="n">
        <v>11</v>
      </c>
      <c r="B24" s="15" t="s">
        <v>202</v>
      </c>
      <c r="C24" s="15" t="s">
        <v>203</v>
      </c>
      <c r="D24" s="15" t="s">
        <v>204</v>
      </c>
      <c r="E24" s="15" t="s">
        <v>205</v>
      </c>
      <c r="F24" s="16" t="n">
        <v>24</v>
      </c>
      <c r="G24" s="16" t="n">
        <v>5.9</v>
      </c>
      <c r="H24" s="16" t="n">
        <v>64.99</v>
      </c>
      <c r="I24" s="17" t="n">
        <f aca="false">H24*$C$5+$C$6</f>
        <v>8.7987</v>
      </c>
      <c r="J24" s="17" t="n">
        <f aca="false">H24*$C$7/(1+$C$7)-(F24+G24)*$C$7*$C$8</f>
        <v>4.69555462184874</v>
      </c>
      <c r="K24" s="17" t="n">
        <f aca="false">H24*$C$9</f>
        <v>2.5996</v>
      </c>
      <c r="L24" s="17" t="n">
        <f aca="false">H24-F24-G24-I24-J24-K24</f>
        <v>18.9961453781513</v>
      </c>
      <c r="M24" s="18" t="n">
        <f aca="false">IF(H24=0,0,L24/H24)</f>
        <v>0.292293358642118</v>
      </c>
      <c r="N24" s="17" t="n">
        <f aca="false">($C$6+F24+G24-(F24+G24)*$C$7*$C$8)/(1-$C$5-$C$7/(1+$C$7)-$C$9-$C$10)</f>
        <v>52.2371091656244</v>
      </c>
      <c r="O24" s="19" t="s">
        <v>74</v>
      </c>
      <c r="P24" s="15" t="s">
        <v>185</v>
      </c>
    </row>
    <row r="25" customFormat="false" ht="15" hidden="false" customHeight="false" outlineLevel="0" collapsed="false">
      <c r="A25" s="15" t="n">
        <v>12</v>
      </c>
      <c r="B25" s="15" t="s">
        <v>206</v>
      </c>
      <c r="C25" s="15" t="s">
        <v>203</v>
      </c>
      <c r="D25" s="15" t="s">
        <v>207</v>
      </c>
      <c r="E25" s="15" t="s">
        <v>205</v>
      </c>
      <c r="F25" s="16" t="n">
        <v>22</v>
      </c>
      <c r="G25" s="16" t="n">
        <v>5.9</v>
      </c>
      <c r="H25" s="16" t="n">
        <v>59.99</v>
      </c>
      <c r="I25" s="17" t="n">
        <f aca="false">H25*$C$5+$C$6</f>
        <v>8.1487</v>
      </c>
      <c r="J25" s="17" t="n">
        <f aca="false">H25*$C$7/(1+$C$7)-(F25+G25)*$C$7*$C$8</f>
        <v>4.27723529411765</v>
      </c>
      <c r="K25" s="17" t="n">
        <f aca="false">H25*$C$9</f>
        <v>2.3996</v>
      </c>
      <c r="L25" s="17" t="n">
        <f aca="false">H25-F25-G25-I25-J25-K25</f>
        <v>17.2644647058824</v>
      </c>
      <c r="M25" s="18" t="n">
        <f aca="false">IF(H25=0,0,L25/H25)</f>
        <v>0.287789043271918</v>
      </c>
      <c r="N25" s="17" t="n">
        <f aca="false">($C$6+F25+G25-(F25+G25)*$C$7*$C$8)/(1-$C$5-$C$7/(1+$C$7)-$C$9-$C$10)</f>
        <v>48.7927639807039</v>
      </c>
      <c r="O25" s="20" t="s">
        <v>79</v>
      </c>
      <c r="P25" s="15" t="s">
        <v>208</v>
      </c>
    </row>
    <row r="26" customFormat="false" ht="15" hidden="false" customHeight="false" outlineLevel="0" collapsed="false">
      <c r="A26" s="15" t="n">
        <v>13</v>
      </c>
      <c r="B26" s="15" t="s">
        <v>209</v>
      </c>
      <c r="C26" s="15" t="s">
        <v>203</v>
      </c>
      <c r="D26" s="15" t="s">
        <v>207</v>
      </c>
      <c r="E26" s="15" t="s">
        <v>205</v>
      </c>
      <c r="F26" s="16" t="n">
        <v>7</v>
      </c>
      <c r="G26" s="16" t="n">
        <v>4.9</v>
      </c>
      <c r="H26" s="16" t="n">
        <v>24.99</v>
      </c>
      <c r="I26" s="17" t="n">
        <f aca="false">H26*$C$5+$C$6</f>
        <v>3.5987</v>
      </c>
      <c r="J26" s="17" t="n">
        <f aca="false">H26*$C$7/(1+$C$7)-(F26+G26)*$C$7*$C$8</f>
        <v>1.729</v>
      </c>
      <c r="K26" s="17" t="n">
        <f aca="false">H26*$C$9</f>
        <v>0.9996</v>
      </c>
      <c r="L26" s="17" t="n">
        <f aca="false">H26-F26-G26-I26-J26-K26</f>
        <v>6.7627</v>
      </c>
      <c r="M26" s="18" t="n">
        <f aca="false">IF(H26=0,0,L26/H26)</f>
        <v>0.270616246498599</v>
      </c>
      <c r="N26" s="17" t="n">
        <f aca="false">($C$6+F26+G26-(F26+G26)*$C$7*$C$8)/(1-$C$5-$C$7/(1+$C$7)-$C$9-$C$10)</f>
        <v>21.23800250134</v>
      </c>
      <c r="O26" s="19" t="s">
        <v>74</v>
      </c>
      <c r="P26" s="15" t="s">
        <v>185</v>
      </c>
    </row>
    <row r="27" customFormat="false" ht="15" hidden="false" customHeight="false" outlineLevel="0" collapsed="false">
      <c r="A27" s="15" t="n">
        <v>14</v>
      </c>
      <c r="B27" s="15" t="s">
        <v>210</v>
      </c>
      <c r="C27" s="15" t="s">
        <v>203</v>
      </c>
      <c r="D27" s="15" t="s">
        <v>207</v>
      </c>
      <c r="E27" s="15" t="s">
        <v>205</v>
      </c>
      <c r="F27" s="16" t="n">
        <v>13</v>
      </c>
      <c r="G27" s="16" t="n">
        <v>4.9</v>
      </c>
      <c r="H27" s="16" t="n">
        <v>34.99</v>
      </c>
      <c r="I27" s="17" t="n">
        <f aca="false">H27*$C$5+$C$6</f>
        <v>4.8987</v>
      </c>
      <c r="J27" s="17" t="n">
        <f aca="false">H27*$C$7/(1+$C$7)-(F27+G27)*$C$7*$C$8</f>
        <v>2.18563865546219</v>
      </c>
      <c r="K27" s="17" t="n">
        <f aca="false">H27*$C$9</f>
        <v>1.3996</v>
      </c>
      <c r="L27" s="17" t="n">
        <f aca="false">H27-F27-G27-I27-J27-K27</f>
        <v>8.60606134453782</v>
      </c>
      <c r="M27" s="18" t="n">
        <f aca="false">IF(H27=0,0,L27/H27)</f>
        <v>0.245957740626974</v>
      </c>
      <c r="N27" s="17" t="n">
        <f aca="false">($C$6+F27+G27-(F27+G27)*$C$7*$C$8)/(1-$C$5-$C$7/(1+$C$7)-$C$9-$C$10)</f>
        <v>31.5710380561015</v>
      </c>
      <c r="O27" s="20" t="s">
        <v>79</v>
      </c>
      <c r="P27" s="15" t="s">
        <v>208</v>
      </c>
    </row>
    <row r="28" customFormat="false" ht="28.35" hidden="false" customHeight="false" outlineLevel="0" collapsed="false">
      <c r="A28" s="15" t="n">
        <v>15</v>
      </c>
      <c r="B28" s="15" t="s">
        <v>211</v>
      </c>
      <c r="C28" s="15" t="s">
        <v>69</v>
      </c>
      <c r="D28" s="15" t="s">
        <v>212</v>
      </c>
      <c r="E28" s="15" t="s">
        <v>213</v>
      </c>
      <c r="F28" s="16" t="n">
        <v>2.8</v>
      </c>
      <c r="G28" s="16" t="n">
        <v>2.5</v>
      </c>
      <c r="H28" s="16" t="n">
        <v>14.99</v>
      </c>
      <c r="I28" s="17" t="n">
        <f aca="false">H28*$C$5+$C$6</f>
        <v>2.2987</v>
      </c>
      <c r="J28" s="17" t="n">
        <f aca="false">H28*$C$7/(1+$C$7)-(F28+G28)*$C$7*$C$8</f>
        <v>1.38636134453782</v>
      </c>
      <c r="K28" s="17" t="n">
        <f aca="false">H28*$C$9</f>
        <v>0.5996</v>
      </c>
      <c r="L28" s="17" t="n">
        <f aca="false">H28-F28-G28-I28-J28-K28</f>
        <v>5.40533865546219</v>
      </c>
      <c r="M28" s="18" t="n">
        <f aca="false">IF(H28=0,0,L28/H28)</f>
        <v>0.360596307902748</v>
      </c>
      <c r="N28" s="17" t="n">
        <f aca="false">($C$6+F28+G28-(F28+G28)*$C$7*$C$8)/(1-$C$5-$C$7/(1+$C$7)-$C$9-$C$10)</f>
        <v>9.87166339110238</v>
      </c>
      <c r="O28" s="19" t="s">
        <v>74</v>
      </c>
      <c r="P28" s="15" t="s">
        <v>214</v>
      </c>
    </row>
    <row r="29" customFormat="false" ht="28.35" hidden="false" customHeight="false" outlineLevel="0" collapsed="false">
      <c r="A29" s="15" t="n">
        <v>16</v>
      </c>
      <c r="B29" s="15" t="s">
        <v>215</v>
      </c>
      <c r="C29" s="15" t="s">
        <v>69</v>
      </c>
      <c r="D29" s="15" t="s">
        <v>216</v>
      </c>
      <c r="E29" s="15" t="s">
        <v>181</v>
      </c>
      <c r="F29" s="16" t="n">
        <v>6.5</v>
      </c>
      <c r="G29" s="16" t="n">
        <v>3.9</v>
      </c>
      <c r="H29" s="16" t="n">
        <v>17.99</v>
      </c>
      <c r="I29" s="17" t="n">
        <f aca="false">H29*$C$5+$C$6</f>
        <v>2.6887</v>
      </c>
      <c r="J29" s="17" t="n">
        <f aca="false">H29*$C$7/(1+$C$7)-(F29+G29)*$C$7*$C$8</f>
        <v>0.896352941176471</v>
      </c>
      <c r="K29" s="17" t="n">
        <f aca="false">H29*$C$9</f>
        <v>0.7196</v>
      </c>
      <c r="L29" s="17" t="n">
        <f aca="false">H29-F29-G29-I29-J29-K29</f>
        <v>3.28534705882353</v>
      </c>
      <c r="M29" s="18" t="n">
        <f aca="false">IF(H29=0,0,L29/H29)</f>
        <v>0.182620737010758</v>
      </c>
      <c r="N29" s="17" t="n">
        <f aca="false">($C$6+F29+G29-(F29+G29)*$C$7*$C$8)/(1-$C$5-$C$7/(1+$C$7)-$C$9-$C$10)</f>
        <v>18.6547436126496</v>
      </c>
      <c r="O29" s="20" t="s">
        <v>79</v>
      </c>
      <c r="P29" s="15" t="s">
        <v>217</v>
      </c>
    </row>
    <row r="30" customFormat="false" ht="28.35" hidden="false" customHeight="false" outlineLevel="0" collapsed="false">
      <c r="A30" s="15" t="n">
        <v>17</v>
      </c>
      <c r="B30" s="15" t="s">
        <v>218</v>
      </c>
      <c r="C30" s="15" t="s">
        <v>69</v>
      </c>
      <c r="D30" s="15" t="s">
        <v>219</v>
      </c>
      <c r="E30" s="15" t="s">
        <v>181</v>
      </c>
      <c r="F30" s="16" t="n">
        <v>4.2</v>
      </c>
      <c r="G30" s="16" t="n">
        <v>2.5</v>
      </c>
      <c r="H30" s="16" t="n">
        <v>14.99</v>
      </c>
      <c r="I30" s="17" t="n">
        <f aca="false">H30*$C$5+$C$6</f>
        <v>2.2987</v>
      </c>
      <c r="J30" s="17" t="n">
        <f aca="false">H30*$C$7/(1+$C$7)-(F30+G30)*$C$7*$C$8</f>
        <v>1.12036134453782</v>
      </c>
      <c r="K30" s="17" t="n">
        <f aca="false">H30*$C$9</f>
        <v>0.5996</v>
      </c>
      <c r="L30" s="17" t="n">
        <f aca="false">H30-F30-G30-I30-J30-K30</f>
        <v>4.27133865546218</v>
      </c>
      <c r="M30" s="18" t="n">
        <f aca="false">IF(H30=0,0,L30/H30)</f>
        <v>0.284945874280333</v>
      </c>
      <c r="N30" s="17" t="n">
        <f aca="false">($C$6+F30+G30-(F30+G30)*$C$7*$C$8)/(1-$C$5-$C$7/(1+$C$7)-$C$9-$C$10)</f>
        <v>12.2827050205467</v>
      </c>
      <c r="O30" s="19" t="s">
        <v>74</v>
      </c>
      <c r="P30" s="15" t="s">
        <v>220</v>
      </c>
    </row>
    <row r="31" customFormat="false" ht="28.35" hidden="false" customHeight="false" outlineLevel="0" collapsed="false">
      <c r="A31" s="15" t="n">
        <v>18</v>
      </c>
      <c r="B31" s="15" t="s">
        <v>221</v>
      </c>
      <c r="C31" s="15" t="s">
        <v>69</v>
      </c>
      <c r="D31" s="15" t="s">
        <v>222</v>
      </c>
      <c r="E31" s="15" t="s">
        <v>181</v>
      </c>
      <c r="F31" s="16" t="n">
        <v>16</v>
      </c>
      <c r="G31" s="16" t="n">
        <v>4.9</v>
      </c>
      <c r="H31" s="16" t="n">
        <v>36.99</v>
      </c>
      <c r="I31" s="17" t="n">
        <f aca="false">H31*$C$5+$C$6</f>
        <v>5.1587</v>
      </c>
      <c r="J31" s="17" t="n">
        <f aca="false">H31*$C$7/(1+$C$7)-(F31+G31)*$C$7*$C$8</f>
        <v>1.93496638655462</v>
      </c>
      <c r="K31" s="17" t="n">
        <f aca="false">H31*$C$9</f>
        <v>1.4796</v>
      </c>
      <c r="L31" s="17" t="n">
        <f aca="false">H31-F31-G31-I31-J31-K31</f>
        <v>7.51673361344538</v>
      </c>
      <c r="M31" s="18" t="n">
        <f aca="false">IF(H31=0,0,L31/H31)</f>
        <v>0.203209884115852</v>
      </c>
      <c r="N31" s="17" t="n">
        <f aca="false">($C$6+F31+G31-(F31+G31)*$C$7*$C$8)/(1-$C$5-$C$7/(1+$C$7)-$C$9-$C$10)</f>
        <v>36.7375558334822</v>
      </c>
      <c r="O31" s="21" t="s">
        <v>98</v>
      </c>
      <c r="P31" s="15" t="s">
        <v>223</v>
      </c>
    </row>
    <row r="32" customFormat="false" ht="28.35" hidden="false" customHeight="false" outlineLevel="0" collapsed="false">
      <c r="A32" s="15" t="n">
        <v>19</v>
      </c>
      <c r="B32" s="15" t="s">
        <v>224</v>
      </c>
      <c r="C32" s="15" t="s">
        <v>84</v>
      </c>
      <c r="D32" s="15" t="s">
        <v>225</v>
      </c>
      <c r="E32" s="15" t="s">
        <v>181</v>
      </c>
      <c r="F32" s="16" t="n">
        <v>12</v>
      </c>
      <c r="G32" s="16" t="n">
        <v>3.9</v>
      </c>
      <c r="H32" s="16" t="n">
        <v>29.99</v>
      </c>
      <c r="I32" s="17" t="n">
        <f aca="false">H32*$C$5+$C$6</f>
        <v>4.2487</v>
      </c>
      <c r="J32" s="17" t="n">
        <f aca="false">H32*$C$7/(1+$C$7)-(F32+G32)*$C$7*$C$8</f>
        <v>1.76731932773109</v>
      </c>
      <c r="K32" s="17" t="n">
        <f aca="false">H32*$C$9</f>
        <v>1.1996</v>
      </c>
      <c r="L32" s="17" t="n">
        <f aca="false">H32-F32-G32-I32-J32-K32</f>
        <v>6.87438067226891</v>
      </c>
      <c r="M32" s="18" t="n">
        <f aca="false">IF(H32=0,0,L32/H32)</f>
        <v>0.229222429885592</v>
      </c>
      <c r="N32" s="17" t="n">
        <f aca="false">($C$6+F32+G32-(F32+G32)*$C$7*$C$8)/(1-$C$5-$C$7/(1+$C$7)-$C$9-$C$10)</f>
        <v>28.126692871181</v>
      </c>
      <c r="O32" s="20" t="s">
        <v>79</v>
      </c>
      <c r="P32" s="15" t="s">
        <v>226</v>
      </c>
    </row>
    <row r="33" customFormat="false" ht="15" hidden="false" customHeight="false" outlineLevel="0" collapsed="false">
      <c r="A33" s="15" t="n">
        <v>20</v>
      </c>
      <c r="B33" s="15" t="s">
        <v>227</v>
      </c>
      <c r="C33" s="15" t="s">
        <v>97</v>
      </c>
      <c r="D33" s="15" t="s">
        <v>228</v>
      </c>
      <c r="E33" s="15" t="s">
        <v>229</v>
      </c>
      <c r="F33" s="16" t="n">
        <v>11</v>
      </c>
      <c r="G33" s="16" t="n">
        <v>3.9</v>
      </c>
      <c r="H33" s="16" t="n">
        <v>27.99</v>
      </c>
      <c r="I33" s="17" t="n">
        <f aca="false">H33*$C$5+$C$6</f>
        <v>3.9887</v>
      </c>
      <c r="J33" s="17" t="n">
        <f aca="false">H33*$C$7/(1+$C$7)-(F33+G33)*$C$7*$C$8</f>
        <v>1.63799159663866</v>
      </c>
      <c r="K33" s="17" t="n">
        <f aca="false">H33*$C$9</f>
        <v>1.1196</v>
      </c>
      <c r="L33" s="17" t="n">
        <f aca="false">H33-F33-G33-I33-J33-K33</f>
        <v>6.34370840336134</v>
      </c>
      <c r="M33" s="18" t="n">
        <f aca="false">IF(H33=0,0,L33/H33)</f>
        <v>0.226641957962177</v>
      </c>
      <c r="N33" s="17" t="n">
        <f aca="false">($C$6+F33+G33-(F33+G33)*$C$7*$C$8)/(1-$C$5-$C$7/(1+$C$7)-$C$9-$C$10)</f>
        <v>26.4045202787207</v>
      </c>
      <c r="O33" s="20" t="s">
        <v>79</v>
      </c>
      <c r="P33" s="15" t="s">
        <v>230</v>
      </c>
    </row>
    <row r="34" customFormat="false" ht="28.35" hidden="false" customHeight="false" outlineLevel="0" collapsed="false">
      <c r="A34" s="15" t="n">
        <v>21</v>
      </c>
      <c r="B34" s="15" t="s">
        <v>231</v>
      </c>
      <c r="C34" s="15" t="s">
        <v>102</v>
      </c>
      <c r="D34" s="15" t="s">
        <v>232</v>
      </c>
      <c r="E34" s="15" t="s">
        <v>233</v>
      </c>
      <c r="F34" s="16" t="n">
        <v>7.5</v>
      </c>
      <c r="G34" s="16" t="n">
        <v>4.9</v>
      </c>
      <c r="H34" s="16" t="n">
        <v>22.99</v>
      </c>
      <c r="I34" s="17" t="n">
        <f aca="false">H34*$C$5+$C$6</f>
        <v>3.3387</v>
      </c>
      <c r="J34" s="17" t="n">
        <f aca="false">H34*$C$7/(1+$C$7)-(F34+G34)*$C$7*$C$8</f>
        <v>1.31467226890756</v>
      </c>
      <c r="K34" s="17" t="n">
        <f aca="false">H34*$C$9</f>
        <v>0.9196</v>
      </c>
      <c r="L34" s="17" t="n">
        <f aca="false">H34-F34-G34-I34-J34-K34</f>
        <v>5.01702773109244</v>
      </c>
      <c r="M34" s="18" t="n">
        <f aca="false">IF(H34=0,0,L34/H34)</f>
        <v>0.218226521578618</v>
      </c>
      <c r="N34" s="17" t="n">
        <f aca="false">($C$6+F34+G34-(F34+G34)*$C$7*$C$8)/(1-$C$5-$C$7/(1+$C$7)-$C$9-$C$10)</f>
        <v>22.0990887975701</v>
      </c>
      <c r="O34" s="20" t="s">
        <v>79</v>
      </c>
      <c r="P34" s="15" t="s">
        <v>185</v>
      </c>
    </row>
    <row r="35" customFormat="false" ht="28.35" hidden="false" customHeight="false" outlineLevel="0" collapsed="false">
      <c r="A35" s="15" t="n">
        <v>22</v>
      </c>
      <c r="B35" s="15" t="s">
        <v>234</v>
      </c>
      <c r="C35" s="15" t="s">
        <v>102</v>
      </c>
      <c r="D35" s="15" t="s">
        <v>235</v>
      </c>
      <c r="E35" s="15" t="s">
        <v>119</v>
      </c>
      <c r="F35" s="16" t="n">
        <v>6.8</v>
      </c>
      <c r="G35" s="16" t="n">
        <v>4.9</v>
      </c>
      <c r="H35" s="16" t="n">
        <v>22.99</v>
      </c>
      <c r="I35" s="17" t="n">
        <f aca="false">H35*$C$5+$C$6</f>
        <v>3.3387</v>
      </c>
      <c r="J35" s="17" t="n">
        <f aca="false">H35*$C$7/(1+$C$7)-(F35+G35)*$C$7*$C$8</f>
        <v>1.44767226890756</v>
      </c>
      <c r="K35" s="17" t="n">
        <f aca="false">H35*$C$9</f>
        <v>0.9196</v>
      </c>
      <c r="L35" s="17" t="n">
        <f aca="false">H35-F35-G35-I35-J35-K35</f>
        <v>5.58402773109243</v>
      </c>
      <c r="M35" s="18" t="n">
        <f aca="false">IF(H35=0,0,L35/H35)</f>
        <v>0.242889418490319</v>
      </c>
      <c r="N35" s="17" t="n">
        <f aca="false">($C$6+F35+G35-(F35+G35)*$C$7*$C$8)/(1-$C$5-$C$7/(1+$C$7)-$C$9-$C$10)</f>
        <v>20.893567982848</v>
      </c>
      <c r="O35" s="19" t="s">
        <v>74</v>
      </c>
      <c r="P35" s="15" t="s">
        <v>185</v>
      </c>
    </row>
    <row r="36" customFormat="false" ht="15" hidden="false" customHeight="false" outlineLevel="0" collapsed="false">
      <c r="A36" s="15" t="n">
        <v>23</v>
      </c>
      <c r="B36" s="15" t="s">
        <v>236</v>
      </c>
      <c r="C36" s="15" t="s">
        <v>237</v>
      </c>
      <c r="D36" s="15" t="s">
        <v>42</v>
      </c>
      <c r="E36" s="15" t="s">
        <v>238</v>
      </c>
      <c r="F36" s="16" t="n">
        <v>13</v>
      </c>
      <c r="G36" s="16" t="n">
        <v>5.9</v>
      </c>
      <c r="H36" s="16" t="n">
        <v>36.99</v>
      </c>
      <c r="I36" s="17" t="n">
        <f aca="false">H36*$C$5+$C$6</f>
        <v>5.1587</v>
      </c>
      <c r="J36" s="17" t="n">
        <f aca="false">H36*$C$7/(1+$C$7)-(F36+G36)*$C$7*$C$8</f>
        <v>2.31496638655462</v>
      </c>
      <c r="K36" s="17" t="n">
        <f aca="false">H36*$C$9</f>
        <v>1.4796</v>
      </c>
      <c r="L36" s="17" t="n">
        <f aca="false">H36-F36-G36-I36-J36-K36</f>
        <v>9.13673361344538</v>
      </c>
      <c r="M36" s="18" t="n">
        <f aca="false">IF(H36=0,0,L36/H36)</f>
        <v>0.247005504553809</v>
      </c>
      <c r="N36" s="17" t="n">
        <f aca="false">($C$6+F36+G36-(F36+G36)*$C$7*$C$8)/(1-$C$5-$C$7/(1+$C$7)-$C$9-$C$10)</f>
        <v>33.2932106485617</v>
      </c>
      <c r="O36" s="19" t="s">
        <v>74</v>
      </c>
      <c r="P36" s="15" t="s">
        <v>185</v>
      </c>
    </row>
    <row r="37" customFormat="false" ht="15" hidden="false" customHeight="false" outlineLevel="0" collapsed="false">
      <c r="A37" s="15" t="n">
        <v>24</v>
      </c>
      <c r="B37" s="15" t="s">
        <v>239</v>
      </c>
      <c r="C37" s="15" t="s">
        <v>240</v>
      </c>
      <c r="D37" s="15" t="s">
        <v>241</v>
      </c>
      <c r="E37" s="15" t="s">
        <v>119</v>
      </c>
      <c r="F37" s="16" t="n">
        <v>18</v>
      </c>
      <c r="G37" s="16" t="n">
        <v>4.9</v>
      </c>
      <c r="H37" s="16" t="n">
        <v>44.99</v>
      </c>
      <c r="I37" s="17" t="n">
        <f aca="false">H37*$C$5+$C$6</f>
        <v>6.1987</v>
      </c>
      <c r="J37" s="17" t="n">
        <f aca="false">H37*$C$7/(1+$C$7)-(F37+G37)*$C$7*$C$8</f>
        <v>2.83227731092437</v>
      </c>
      <c r="K37" s="17" t="n">
        <f aca="false">H37*$C$9</f>
        <v>1.7996</v>
      </c>
      <c r="L37" s="17" t="n">
        <f aca="false">H37-F37-G37-I37-J37-K37</f>
        <v>11.2594226890756</v>
      </c>
      <c r="M37" s="18" t="n">
        <f aca="false">IF(H37=0,0,L37/H37)</f>
        <v>0.250265007536689</v>
      </c>
      <c r="N37" s="17" t="n">
        <f aca="false">($C$6+F37+G37-(F37+G37)*$C$7*$C$8)/(1-$C$5-$C$7/(1+$C$7)-$C$9-$C$10)</f>
        <v>40.1819010184027</v>
      </c>
      <c r="O37" s="20" t="s">
        <v>79</v>
      </c>
      <c r="P37" s="15" t="s">
        <v>242</v>
      </c>
    </row>
    <row r="38" customFormat="false" ht="28.35" hidden="false" customHeight="false" outlineLevel="0" collapsed="false">
      <c r="A38" s="15" t="n">
        <v>25</v>
      </c>
      <c r="B38" s="15" t="s">
        <v>243</v>
      </c>
      <c r="C38" s="15" t="s">
        <v>240</v>
      </c>
      <c r="D38" s="15" t="s">
        <v>244</v>
      </c>
      <c r="E38" s="15" t="s">
        <v>119</v>
      </c>
      <c r="F38" s="16" t="n">
        <v>6.5</v>
      </c>
      <c r="G38" s="16" t="n">
        <v>4.9</v>
      </c>
      <c r="H38" s="16" t="n">
        <v>21.99</v>
      </c>
      <c r="I38" s="17" t="n">
        <f aca="false">H38*$C$5+$C$6</f>
        <v>3.2087</v>
      </c>
      <c r="J38" s="17" t="n">
        <f aca="false">H38*$C$7/(1+$C$7)-(F38+G38)*$C$7*$C$8</f>
        <v>1.34500840336134</v>
      </c>
      <c r="K38" s="17" t="n">
        <f aca="false">H38*$C$9</f>
        <v>0.8796</v>
      </c>
      <c r="L38" s="17" t="n">
        <f aca="false">H38-F38-G38-I38-J38-K38</f>
        <v>5.15669159663865</v>
      </c>
      <c r="M38" s="18" t="n">
        <f aca="false">IF(H38=0,0,L38/H38)</f>
        <v>0.234501664240048</v>
      </c>
      <c r="N38" s="17" t="n">
        <f aca="false">($C$6+F38+G38-(F38+G38)*$C$7*$C$8)/(1-$C$5-$C$7/(1+$C$7)-$C$9-$C$10)</f>
        <v>20.3769162051099</v>
      </c>
      <c r="O38" s="19" t="s">
        <v>74</v>
      </c>
      <c r="P38" s="15" t="s">
        <v>185</v>
      </c>
    </row>
    <row r="39" customFormat="false" ht="15" hidden="false" customHeight="false" outlineLevel="0" collapsed="false">
      <c r="A39" s="15" t="n">
        <v>26</v>
      </c>
      <c r="B39" s="15" t="s">
        <v>245</v>
      </c>
      <c r="C39" s="15" t="s">
        <v>240</v>
      </c>
      <c r="D39" s="15" t="s">
        <v>246</v>
      </c>
      <c r="E39" s="15" t="s">
        <v>119</v>
      </c>
      <c r="F39" s="16" t="n">
        <v>3.9</v>
      </c>
      <c r="G39" s="16" t="n">
        <v>3.9</v>
      </c>
      <c r="H39" s="16" t="n">
        <v>15.99</v>
      </c>
      <c r="I39" s="17" t="n">
        <f aca="false">H39*$C$5+$C$6</f>
        <v>2.4287</v>
      </c>
      <c r="J39" s="17" t="n">
        <f aca="false">H39*$C$7/(1+$C$7)-(F39+G39)*$C$7*$C$8</f>
        <v>1.07102521008403</v>
      </c>
      <c r="K39" s="17" t="n">
        <f aca="false">H39*$C$9</f>
        <v>0.6396</v>
      </c>
      <c r="L39" s="17" t="n">
        <f aca="false">H39-F39-G39-I39-J39-K39</f>
        <v>4.05067478991597</v>
      </c>
      <c r="M39" s="18" t="n">
        <f aca="false">IF(H39=0,0,L39/H39)</f>
        <v>0.253325502809004</v>
      </c>
      <c r="N39" s="17" t="n">
        <f aca="false">($C$6+F39+G39-(F39+G39)*$C$7*$C$8)/(1-$C$5-$C$7/(1+$C$7)-$C$9-$C$10)</f>
        <v>14.177094872253</v>
      </c>
      <c r="O39" s="19" t="s">
        <v>74</v>
      </c>
      <c r="P39" s="15" t="s">
        <v>185</v>
      </c>
    </row>
    <row r="40" customFormat="false" ht="15" hidden="false" customHeight="false" outlineLevel="0" collapsed="false">
      <c r="A40" s="15" t="n">
        <v>27</v>
      </c>
      <c r="B40" s="15" t="s">
        <v>247</v>
      </c>
      <c r="C40" s="15" t="s">
        <v>240</v>
      </c>
      <c r="D40" s="15" t="s">
        <v>246</v>
      </c>
      <c r="E40" s="15" t="s">
        <v>119</v>
      </c>
      <c r="F40" s="16" t="n">
        <v>8.5</v>
      </c>
      <c r="G40" s="16" t="n">
        <v>5.9</v>
      </c>
      <c r="H40" s="16" t="n">
        <v>26.99</v>
      </c>
      <c r="I40" s="17" t="n">
        <f aca="false">H40*$C$5+$C$6</f>
        <v>3.8587</v>
      </c>
      <c r="J40" s="17" t="n">
        <f aca="false">H40*$C$7/(1+$C$7)-(F40+G40)*$C$7*$C$8</f>
        <v>1.57332773109244</v>
      </c>
      <c r="K40" s="17" t="n">
        <f aca="false">H40*$C$9</f>
        <v>1.0796</v>
      </c>
      <c r="L40" s="17" t="n">
        <f aca="false">H40-F40-G40-I40-J40-K40</f>
        <v>6.07837226890756</v>
      </c>
      <c r="M40" s="18" t="n">
        <f aca="false">IF(H40=0,0,L40/H40)</f>
        <v>0.225208309333366</v>
      </c>
      <c r="N40" s="17" t="n">
        <f aca="false">($C$6+F40+G40-(F40+G40)*$C$7*$C$8)/(1-$C$5-$C$7/(1+$C$7)-$C$9-$C$10)</f>
        <v>25.5434339824906</v>
      </c>
      <c r="O40" s="19" t="s">
        <v>74</v>
      </c>
      <c r="P40" s="15" t="s">
        <v>185</v>
      </c>
    </row>
    <row r="41" customFormat="false" ht="28.35" hidden="false" customHeight="false" outlineLevel="0" collapsed="false">
      <c r="A41" s="15" t="n">
        <v>28</v>
      </c>
      <c r="B41" s="15" t="s">
        <v>248</v>
      </c>
      <c r="C41" s="15" t="s">
        <v>249</v>
      </c>
      <c r="D41" s="15" t="s">
        <v>250</v>
      </c>
      <c r="E41" s="15" t="s">
        <v>251</v>
      </c>
      <c r="F41" s="16" t="n">
        <v>9</v>
      </c>
      <c r="G41" s="16" t="n">
        <v>2.5</v>
      </c>
      <c r="H41" s="16" t="n">
        <v>29.99</v>
      </c>
      <c r="I41" s="17" t="n">
        <f aca="false">H41*$C$5+$C$6</f>
        <v>4.2487</v>
      </c>
      <c r="J41" s="17" t="n">
        <f aca="false">H41*$C$7/(1+$C$7)-(F41+G41)*$C$7*$C$8</f>
        <v>2.60331932773109</v>
      </c>
      <c r="K41" s="17" t="n">
        <f aca="false">H41*$C$9</f>
        <v>1.1996</v>
      </c>
      <c r="L41" s="17" t="n">
        <f aca="false">H41-F41-G41-I41-J41-K41</f>
        <v>10.4383806722689</v>
      </c>
      <c r="M41" s="18" t="n">
        <f aca="false">IF(H41=0,0,L41/H41)</f>
        <v>0.348062043089994</v>
      </c>
      <c r="N41" s="17" t="n">
        <f aca="false">($C$6+F41+G41-(F41+G41)*$C$7*$C$8)/(1-$C$5-$C$7/(1+$C$7)-$C$9-$C$10)</f>
        <v>20.5491334643559</v>
      </c>
      <c r="O41" s="19" t="s">
        <v>74</v>
      </c>
      <c r="P41" s="15" t="s">
        <v>252</v>
      </c>
    </row>
    <row r="42" customFormat="false" ht="28.35" hidden="false" customHeight="false" outlineLevel="0" collapsed="false">
      <c r="A42" s="15" t="n">
        <v>29</v>
      </c>
      <c r="B42" s="15" t="s">
        <v>253</v>
      </c>
      <c r="C42" s="15" t="s">
        <v>249</v>
      </c>
      <c r="D42" s="15" t="s">
        <v>254</v>
      </c>
      <c r="E42" s="15" t="s">
        <v>251</v>
      </c>
      <c r="F42" s="16" t="n">
        <v>5.5</v>
      </c>
      <c r="G42" s="16" t="n">
        <v>2.5</v>
      </c>
      <c r="H42" s="16" t="n">
        <v>19.99</v>
      </c>
      <c r="I42" s="17" t="n">
        <f aca="false">H42*$C$5+$C$6</f>
        <v>2.9487</v>
      </c>
      <c r="J42" s="17" t="n">
        <f aca="false">H42*$C$7/(1+$C$7)-(F42+G42)*$C$7*$C$8</f>
        <v>1.67168067226891</v>
      </c>
      <c r="K42" s="17" t="n">
        <f aca="false">H42*$C$9</f>
        <v>0.7996</v>
      </c>
      <c r="L42" s="17" t="n">
        <f aca="false">H42-F42-G42-I42-J42-K42</f>
        <v>6.57001932773109</v>
      </c>
      <c r="M42" s="18" t="n">
        <f aca="false">IF(H42=0,0,L42/H42)</f>
        <v>0.328665299036073</v>
      </c>
      <c r="N42" s="17" t="n">
        <f aca="false">($C$6+F42+G42-(F42+G42)*$C$7*$C$8)/(1-$C$5-$C$7/(1+$C$7)-$C$9-$C$10)</f>
        <v>14.521529390745</v>
      </c>
      <c r="O42" s="19" t="s">
        <v>74</v>
      </c>
      <c r="P42" s="15" t="s">
        <v>185</v>
      </c>
    </row>
    <row r="43" customFormat="false" ht="15" hidden="false" customHeight="false" outlineLevel="0" collapsed="false">
      <c r="A43" s="15" t="n">
        <v>30</v>
      </c>
      <c r="B43" s="15" t="s">
        <v>255</v>
      </c>
      <c r="C43" s="15" t="s">
        <v>256</v>
      </c>
      <c r="D43" s="15" t="s">
        <v>42</v>
      </c>
      <c r="E43" s="15" t="s">
        <v>257</v>
      </c>
      <c r="F43" s="16" t="n">
        <v>15</v>
      </c>
      <c r="G43" s="16" t="n">
        <v>3.9</v>
      </c>
      <c r="H43" s="16" t="n">
        <v>44.99</v>
      </c>
      <c r="I43" s="17" t="n">
        <f aca="false">H43*$C$5+$C$6</f>
        <v>6.1987</v>
      </c>
      <c r="J43" s="17" t="n">
        <f aca="false">H43*$C$7/(1+$C$7)-(F43+G43)*$C$7*$C$8</f>
        <v>3.59227731092437</v>
      </c>
      <c r="K43" s="17" t="n">
        <f aca="false">H43*$C$9</f>
        <v>1.7996</v>
      </c>
      <c r="L43" s="17" t="n">
        <f aca="false">H43-F43-G43-I43-J43-K43</f>
        <v>14.4994226890756</v>
      </c>
      <c r="M43" s="18" t="n">
        <f aca="false">IF(H43=0,0,L43/H43)</f>
        <v>0.322281011093035</v>
      </c>
      <c r="N43" s="17" t="n">
        <f aca="false">($C$6+F43+G43-(F43+G43)*$C$7*$C$8)/(1-$C$5-$C$7/(1+$C$7)-$C$9-$C$10)</f>
        <v>33.2932106485617</v>
      </c>
      <c r="O43" s="19" t="s">
        <v>74</v>
      </c>
      <c r="P43" s="15" t="s">
        <v>258</v>
      </c>
    </row>
    <row r="44" customFormat="false" ht="28.35" hidden="false" customHeight="false" outlineLevel="0" collapsed="false">
      <c r="A44" s="15" t="n">
        <v>31</v>
      </c>
      <c r="B44" s="15" t="s">
        <v>259</v>
      </c>
      <c r="C44" s="15" t="s">
        <v>55</v>
      </c>
      <c r="D44" s="15" t="s">
        <v>260</v>
      </c>
      <c r="E44" s="15" t="s">
        <v>261</v>
      </c>
      <c r="F44" s="16" t="n">
        <v>12</v>
      </c>
      <c r="G44" s="16" t="n">
        <v>4.9</v>
      </c>
      <c r="H44" s="16" t="n">
        <v>34.99</v>
      </c>
      <c r="I44" s="17" t="n">
        <f aca="false">H44*$C$5+$C$6</f>
        <v>4.8987</v>
      </c>
      <c r="J44" s="17" t="n">
        <f aca="false">H44*$C$7/(1+$C$7)-(F44+G44)*$C$7*$C$8</f>
        <v>2.37563865546219</v>
      </c>
      <c r="K44" s="17" t="n">
        <f aca="false">H44*$C$9</f>
        <v>1.3996</v>
      </c>
      <c r="L44" s="17" t="n">
        <f aca="false">H44-F44-G44-I44-J44-K44</f>
        <v>9.41606134453782</v>
      </c>
      <c r="M44" s="18" t="n">
        <f aca="false">IF(H44=0,0,L44/H44)</f>
        <v>0.269107211904482</v>
      </c>
      <c r="N44" s="17" t="n">
        <f aca="false">($C$6+F44+G44-(F44+G44)*$C$7*$C$8)/(1-$C$5-$C$7/(1+$C$7)-$C$9-$C$10)</f>
        <v>29.8488654636412</v>
      </c>
      <c r="O44" s="19" t="s">
        <v>74</v>
      </c>
      <c r="P44" s="15" t="s">
        <v>262</v>
      </c>
    </row>
    <row r="45" customFormat="false" ht="15" hidden="false" customHeight="false" outlineLevel="0" collapsed="false">
      <c r="A45" s="15" t="n">
        <v>32</v>
      </c>
      <c r="B45" s="15" t="s">
        <v>263</v>
      </c>
      <c r="C45" s="15" t="s">
        <v>142</v>
      </c>
      <c r="D45" s="15" t="s">
        <v>264</v>
      </c>
      <c r="E45" s="15" t="s">
        <v>265</v>
      </c>
      <c r="F45" s="16" t="n">
        <v>5.5</v>
      </c>
      <c r="G45" s="16" t="n">
        <v>4.9</v>
      </c>
      <c r="H45" s="16" t="n">
        <v>18.99</v>
      </c>
      <c r="I45" s="17" t="n">
        <f aca="false">H45*$C$5+$C$6</f>
        <v>2.8187</v>
      </c>
      <c r="J45" s="17" t="n">
        <f aca="false">H45*$C$7/(1+$C$7)-(F45+G45)*$C$7*$C$8</f>
        <v>1.05601680672269</v>
      </c>
      <c r="K45" s="17" t="n">
        <f aca="false">H45*$C$9</f>
        <v>0.7596</v>
      </c>
      <c r="L45" s="17" t="n">
        <f aca="false">H45-F45-G45-I45-J45-K45</f>
        <v>3.95568319327731</v>
      </c>
      <c r="M45" s="18" t="n">
        <f aca="false">IF(H45=0,0,L45/H45)</f>
        <v>0.208303485691275</v>
      </c>
      <c r="N45" s="17" t="n">
        <f aca="false">($C$6+F45+G45-(F45+G45)*$C$7*$C$8)/(1-$C$5-$C$7/(1+$C$7)-$C$9-$C$10)</f>
        <v>18.6547436126496</v>
      </c>
      <c r="O45" s="20" t="s">
        <v>79</v>
      </c>
      <c r="P45" s="15" t="s">
        <v>266</v>
      </c>
    </row>
    <row r="46" customFormat="false" ht="28.35" hidden="false" customHeight="false" outlineLevel="0" collapsed="false">
      <c r="A46" s="15" t="n">
        <v>33</v>
      </c>
      <c r="B46" s="15" t="s">
        <v>267</v>
      </c>
      <c r="C46" s="15" t="s">
        <v>268</v>
      </c>
      <c r="D46" s="15" t="s">
        <v>269</v>
      </c>
      <c r="E46" s="15" t="s">
        <v>188</v>
      </c>
      <c r="F46" s="16" t="n">
        <v>48</v>
      </c>
      <c r="G46" s="16" t="n">
        <v>9.9</v>
      </c>
      <c r="H46" s="16" t="n">
        <v>109.99</v>
      </c>
      <c r="I46" s="17" t="n">
        <f aca="false">H46*$C$5+$C$6</f>
        <v>14.6487</v>
      </c>
      <c r="J46" s="17" t="n">
        <f aca="false">H46*$C$7/(1+$C$7)-(F46+G46)*$C$7*$C$8</f>
        <v>6.56042857142857</v>
      </c>
      <c r="K46" s="17" t="n">
        <f aca="false">H46*$C$9</f>
        <v>4.3996</v>
      </c>
      <c r="L46" s="17" t="n">
        <f aca="false">H46-F46-G46-I46-J46-K46</f>
        <v>26.4812714285714</v>
      </c>
      <c r="M46" s="18" t="n">
        <f aca="false">IF(H46=0,0,L46/H46)</f>
        <v>0.240760718506877</v>
      </c>
      <c r="N46" s="17" t="n">
        <f aca="false">($C$6+F46+G46-(F46+G46)*$C$7*$C$8)/(1-$C$5-$C$7/(1+$C$7)-$C$9-$C$10)</f>
        <v>100.457941754511</v>
      </c>
      <c r="O46" s="19" t="s">
        <v>74</v>
      </c>
      <c r="P46" s="15" t="s">
        <v>270</v>
      </c>
    </row>
    <row r="47" customFormat="false" ht="28.35" hidden="false" customHeight="false" outlineLevel="0" collapsed="false">
      <c r="A47" s="15" t="n">
        <v>34</v>
      </c>
      <c r="B47" s="15" t="s">
        <v>271</v>
      </c>
      <c r="C47" s="15" t="s">
        <v>268</v>
      </c>
      <c r="D47" s="15" t="s">
        <v>272</v>
      </c>
      <c r="E47" s="15" t="s">
        <v>188</v>
      </c>
      <c r="F47" s="16" t="n">
        <v>180</v>
      </c>
      <c r="G47" s="16" t="n">
        <v>29</v>
      </c>
      <c r="H47" s="16" t="n">
        <v>349.99</v>
      </c>
      <c r="I47" s="17" t="n">
        <f aca="false">H47*$C$5+$C$6</f>
        <v>45.8487</v>
      </c>
      <c r="J47" s="17" t="n">
        <f aca="false">H47*$C$7/(1+$C$7)-(F47+G47)*$C$7*$C$8</f>
        <v>16.170756302521</v>
      </c>
      <c r="K47" s="17" t="n">
        <f aca="false">H47*$C$9</f>
        <v>13.9996</v>
      </c>
      <c r="L47" s="17" t="n">
        <f aca="false">H47-F47-G47-I47-J47-K47</f>
        <v>64.970943697479</v>
      </c>
      <c r="M47" s="18" t="n">
        <f aca="false">IF(H47=0,0,L47/H47)</f>
        <v>0.185636571609129</v>
      </c>
      <c r="N47" s="17" t="n">
        <f aca="false">($C$6+F47+G47-(F47+G47)*$C$7*$C$8)/(1-$C$5-$C$7/(1+$C$7)-$C$9-$C$10)</f>
        <v>360.678220475255</v>
      </c>
      <c r="O47" s="19" t="s">
        <v>74</v>
      </c>
      <c r="P47" s="15" t="s">
        <v>273</v>
      </c>
    </row>
    <row r="48" customFormat="false" ht="28.35" hidden="false" customHeight="false" outlineLevel="0" collapsed="false">
      <c r="A48" s="15" t="n">
        <v>35</v>
      </c>
      <c r="B48" s="15" t="s">
        <v>274</v>
      </c>
      <c r="C48" s="15" t="s">
        <v>87</v>
      </c>
      <c r="D48" s="15" t="s">
        <v>198</v>
      </c>
      <c r="E48" s="15" t="s">
        <v>188</v>
      </c>
      <c r="F48" s="16" t="n">
        <v>14</v>
      </c>
      <c r="G48" s="16" t="n">
        <v>6.9</v>
      </c>
      <c r="H48" s="16" t="n">
        <v>36.99</v>
      </c>
      <c r="I48" s="17" t="n">
        <f aca="false">H48*$C$5+$C$6</f>
        <v>5.1587</v>
      </c>
      <c r="J48" s="17" t="n">
        <f aca="false">H48*$C$7/(1+$C$7)-(F48+G48)*$C$7*$C$8</f>
        <v>1.93496638655462</v>
      </c>
      <c r="K48" s="17" t="n">
        <f aca="false">H48*$C$9</f>
        <v>1.4796</v>
      </c>
      <c r="L48" s="17" t="n">
        <f aca="false">H48-F48-G48-I48-J48-K48</f>
        <v>7.51673361344538</v>
      </c>
      <c r="M48" s="18" t="n">
        <f aca="false">IF(H48=0,0,L48/H48)</f>
        <v>0.203209884115852</v>
      </c>
      <c r="N48" s="17" t="n">
        <f aca="false">($C$6+F48+G48-(F48+G48)*$C$7*$C$8)/(1-$C$5-$C$7/(1+$C$7)-$C$9-$C$10)</f>
        <v>36.7375558334822</v>
      </c>
      <c r="O48" s="19" t="s">
        <v>74</v>
      </c>
      <c r="P48" s="15" t="s">
        <v>185</v>
      </c>
    </row>
    <row r="49" customFormat="false" ht="28.35" hidden="false" customHeight="false" outlineLevel="0" collapsed="false">
      <c r="A49" s="15" t="n">
        <v>36</v>
      </c>
      <c r="B49" s="15" t="s">
        <v>275</v>
      </c>
      <c r="C49" s="15" t="s">
        <v>87</v>
      </c>
      <c r="D49" s="15" t="s">
        <v>198</v>
      </c>
      <c r="E49" s="15" t="s">
        <v>188</v>
      </c>
      <c r="F49" s="16" t="n">
        <v>9.5</v>
      </c>
      <c r="G49" s="16" t="n">
        <v>5.9</v>
      </c>
      <c r="H49" s="16" t="n">
        <v>27.99</v>
      </c>
      <c r="I49" s="17" t="n">
        <f aca="false">H49*$C$5+$C$6</f>
        <v>3.9887</v>
      </c>
      <c r="J49" s="17" t="n">
        <f aca="false">H49*$C$7/(1+$C$7)-(F49+G49)*$C$7*$C$8</f>
        <v>1.54299159663865</v>
      </c>
      <c r="K49" s="17" t="n">
        <f aca="false">H49*$C$9</f>
        <v>1.1196</v>
      </c>
      <c r="L49" s="17" t="n">
        <f aca="false">H49-F49-G49-I49-J49-K49</f>
        <v>5.93870840336134</v>
      </c>
      <c r="M49" s="18" t="n">
        <f aca="false">IF(H49=0,0,L49/H49)</f>
        <v>0.212172504585972</v>
      </c>
      <c r="N49" s="17" t="n">
        <f aca="false">($C$6+F49+G49-(F49+G49)*$C$7*$C$8)/(1-$C$5-$C$7/(1+$C$7)-$C$9-$C$10)</f>
        <v>27.2656065749509</v>
      </c>
      <c r="O49" s="19" t="s">
        <v>74</v>
      </c>
      <c r="P49" s="15" t="s">
        <v>185</v>
      </c>
    </row>
    <row r="51" customFormat="false" ht="15" hidden="false" customHeight="false" outlineLevel="0" collapsed="false">
      <c r="B51" s="9" t="s">
        <v>276</v>
      </c>
      <c r="L51" s="22" t="n">
        <f aca="false">AVERAGE(L14:L49)</f>
        <v>10.1412756302521</v>
      </c>
      <c r="M51" s="23" t="n">
        <f aca="false">AVERAGE(M14:M49)</f>
        <v>0.255927007451034</v>
      </c>
    </row>
    <row r="52" customFormat="false" ht="15" hidden="false" customHeight="false" outlineLevel="0" collapsed="false">
      <c r="B52" s="5" t="s">
        <v>277</v>
      </c>
      <c r="M52" s="24" t="n">
        <f aca="false">COUNTIF(M14:M49,"&lt;"&amp;$C$10)</f>
        <v>2</v>
      </c>
    </row>
    <row r="54" customFormat="false" ht="27.75" hidden="false" customHeight="true" outlineLevel="0" collapsed="false">
      <c r="B54" s="25" t="s">
        <v>278</v>
      </c>
      <c r="C54" s="25"/>
      <c r="D54" s="25"/>
      <c r="E54" s="25"/>
      <c r="F54" s="25"/>
      <c r="G54" s="25"/>
      <c r="H54" s="25"/>
      <c r="I54" s="25"/>
      <c r="J54" s="25"/>
      <c r="K54" s="25"/>
      <c r="L54" s="25"/>
      <c r="M54" s="25"/>
      <c r="N54" s="25"/>
      <c r="O54" s="25"/>
      <c r="P54" s="25"/>
    </row>
    <row r="55" customFormat="false" ht="27.75" hidden="false" customHeight="true" outlineLevel="0" collapsed="false">
      <c r="B55" s="25" t="s">
        <v>279</v>
      </c>
      <c r="C55" s="25"/>
      <c r="D55" s="25"/>
      <c r="E55" s="25"/>
      <c r="F55" s="25"/>
      <c r="G55" s="25"/>
      <c r="H55" s="25"/>
      <c r="I55" s="25"/>
      <c r="J55" s="25"/>
      <c r="K55" s="25"/>
      <c r="L55" s="25"/>
      <c r="M55" s="25"/>
      <c r="N55" s="25"/>
      <c r="O55" s="25"/>
      <c r="P55" s="25"/>
    </row>
    <row r="56" customFormat="false" ht="27.75" hidden="false" customHeight="true" outlineLevel="0" collapsed="false">
      <c r="B56" s="25" t="s">
        <v>280</v>
      </c>
      <c r="C56" s="25"/>
      <c r="D56" s="25"/>
      <c r="E56" s="25"/>
      <c r="F56" s="25"/>
      <c r="G56" s="25"/>
      <c r="H56" s="25"/>
      <c r="I56" s="25"/>
      <c r="J56" s="25"/>
      <c r="K56" s="25"/>
      <c r="L56" s="25"/>
      <c r="M56" s="25"/>
      <c r="N56" s="25"/>
      <c r="O56" s="25"/>
      <c r="P56" s="25"/>
    </row>
    <row r="57" customFormat="false" ht="27.75" hidden="false" customHeight="true" outlineLevel="0" collapsed="false">
      <c r="B57" s="25" t="s">
        <v>281</v>
      </c>
      <c r="C57" s="25"/>
      <c r="D57" s="25"/>
      <c r="E57" s="25"/>
      <c r="F57" s="25"/>
      <c r="G57" s="25"/>
      <c r="H57" s="25"/>
      <c r="I57" s="25"/>
      <c r="J57" s="25"/>
      <c r="K57" s="25"/>
      <c r="L57" s="25"/>
      <c r="M57" s="25"/>
      <c r="N57" s="25"/>
      <c r="O57" s="25"/>
      <c r="P57" s="25"/>
    </row>
  </sheetData>
  <mergeCells count="4">
    <mergeCell ref="B54:P54"/>
    <mergeCell ref="B55:P55"/>
    <mergeCell ref="B56:P56"/>
    <mergeCell ref="B57:P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0"/>
    <col collapsed="false" customWidth="true" hidden="false" outlineLevel="0" max="3" min="3" style="0" width="22"/>
    <col collapsed="false" customWidth="true" hidden="false" outlineLevel="0" max="4" min="4" style="0" width="18"/>
    <col collapsed="false" customWidth="true" hidden="false" outlineLevel="0" max="5" min="5" style="0" width="20"/>
    <col collapsed="false" customWidth="true" hidden="false" outlineLevel="0" max="6" min="6" style="0" width="16"/>
    <col collapsed="false" customWidth="true" hidden="false" outlineLevel="0" max="7" min="7" style="0" width="24"/>
    <col collapsed="false" customWidth="true" hidden="false" outlineLevel="0" max="8" min="8" style="0" width="40"/>
    <col collapsed="false" customWidth="true" hidden="false" outlineLevel="0" max="9" min="9" style="0" width="30"/>
  </cols>
  <sheetData>
    <row r="1" customFormat="false" ht="16.15" hidden="false" customHeight="false" outlineLevel="0" collapsed="false">
      <c r="A1" s="4" t="s">
        <v>282</v>
      </c>
    </row>
    <row r="2" customFormat="false" ht="15" hidden="false" customHeight="false" outlineLevel="0" collapsed="false">
      <c r="A2" s="0" t="s">
        <v>283</v>
      </c>
    </row>
    <row r="4" customFormat="false" ht="26.85" hidden="false" customHeight="false" outlineLevel="0" collapsed="false">
      <c r="A4" s="6" t="s">
        <v>107</v>
      </c>
      <c r="B4" s="6" t="s">
        <v>284</v>
      </c>
      <c r="C4" s="6" t="s">
        <v>285</v>
      </c>
      <c r="D4" s="6" t="s">
        <v>286</v>
      </c>
      <c r="E4" s="6" t="s">
        <v>287</v>
      </c>
      <c r="F4" s="6" t="s">
        <v>288</v>
      </c>
      <c r="G4" s="6" t="s">
        <v>289</v>
      </c>
      <c r="H4" s="6" t="s">
        <v>290</v>
      </c>
      <c r="I4" s="6" t="s">
        <v>27</v>
      </c>
    </row>
    <row r="5" customFormat="false" ht="77.6" hidden="false" customHeight="false" outlineLevel="0" collapsed="false">
      <c r="A5" s="26" t="s">
        <v>119</v>
      </c>
      <c r="B5" s="26" t="s">
        <v>291</v>
      </c>
      <c r="C5" s="26" t="s">
        <v>292</v>
      </c>
      <c r="D5" s="26" t="s">
        <v>293</v>
      </c>
      <c r="E5" s="26" t="s">
        <v>294</v>
      </c>
      <c r="F5" s="26" t="s">
        <v>295</v>
      </c>
      <c r="G5" s="26" t="s">
        <v>296</v>
      </c>
      <c r="H5" s="26" t="s">
        <v>297</v>
      </c>
      <c r="I5" s="26" t="s">
        <v>298</v>
      </c>
    </row>
    <row r="6" customFormat="false" ht="52.2" hidden="false" customHeight="false" outlineLevel="0" collapsed="false">
      <c r="A6" s="7" t="s">
        <v>188</v>
      </c>
      <c r="B6" s="7" t="s">
        <v>299</v>
      </c>
      <c r="C6" s="7" t="s">
        <v>300</v>
      </c>
      <c r="D6" s="7" t="s">
        <v>134</v>
      </c>
      <c r="E6" s="7" t="s">
        <v>301</v>
      </c>
      <c r="F6" s="7" t="s">
        <v>302</v>
      </c>
      <c r="G6" s="7" t="s">
        <v>303</v>
      </c>
      <c r="H6" s="7" t="s">
        <v>304</v>
      </c>
      <c r="I6" s="7" t="s">
        <v>305</v>
      </c>
    </row>
    <row r="7" customFormat="false" ht="39.55" hidden="false" customHeight="false" outlineLevel="0" collapsed="false">
      <c r="A7" s="7" t="s">
        <v>181</v>
      </c>
      <c r="B7" s="7" t="s">
        <v>306</v>
      </c>
      <c r="C7" s="7" t="s">
        <v>307</v>
      </c>
      <c r="D7" s="7" t="s">
        <v>308</v>
      </c>
      <c r="E7" s="7" t="s">
        <v>309</v>
      </c>
      <c r="F7" s="7" t="s">
        <v>310</v>
      </c>
      <c r="G7" s="7" t="s">
        <v>311</v>
      </c>
      <c r="H7" s="7" t="s">
        <v>312</v>
      </c>
      <c r="I7" s="7" t="s">
        <v>313</v>
      </c>
    </row>
    <row r="8" customFormat="false" ht="26.85" hidden="false" customHeight="false" outlineLevel="0" collapsed="false">
      <c r="A8" s="7" t="s">
        <v>205</v>
      </c>
      <c r="B8" s="7" t="s">
        <v>110</v>
      </c>
      <c r="C8" s="7" t="s">
        <v>314</v>
      </c>
      <c r="D8" s="7" t="s">
        <v>308</v>
      </c>
      <c r="E8" s="7" t="s">
        <v>315</v>
      </c>
      <c r="F8" s="7" t="s">
        <v>310</v>
      </c>
      <c r="G8" s="7" t="s">
        <v>316</v>
      </c>
      <c r="H8" s="7" t="s">
        <v>317</v>
      </c>
      <c r="I8" s="7" t="s">
        <v>313</v>
      </c>
    </row>
    <row r="9" customFormat="false" ht="26.85" hidden="false" customHeight="false" outlineLevel="0" collapsed="false">
      <c r="A9" s="7" t="s">
        <v>251</v>
      </c>
      <c r="B9" s="7" t="s">
        <v>318</v>
      </c>
      <c r="C9" s="7" t="s">
        <v>314</v>
      </c>
      <c r="D9" s="7" t="s">
        <v>308</v>
      </c>
      <c r="E9" s="7" t="s">
        <v>315</v>
      </c>
      <c r="F9" s="7" t="s">
        <v>310</v>
      </c>
      <c r="G9" s="7" t="s">
        <v>319</v>
      </c>
      <c r="H9" s="7" t="s">
        <v>320</v>
      </c>
      <c r="I9" s="7" t="s">
        <v>321</v>
      </c>
    </row>
    <row r="10" customFormat="false" ht="15" hidden="false" customHeight="false" outlineLevel="0" collapsed="false">
      <c r="A10" s="7" t="s">
        <v>257</v>
      </c>
      <c r="B10" s="7" t="s">
        <v>322</v>
      </c>
      <c r="C10" s="7" t="s">
        <v>314</v>
      </c>
      <c r="D10" s="7" t="s">
        <v>308</v>
      </c>
      <c r="E10" s="7" t="s">
        <v>315</v>
      </c>
      <c r="F10" s="7" t="s">
        <v>310</v>
      </c>
      <c r="G10" s="7" t="s">
        <v>316</v>
      </c>
      <c r="H10" s="7" t="s">
        <v>323</v>
      </c>
      <c r="I10" s="7" t="s">
        <v>313</v>
      </c>
    </row>
    <row r="11" customFormat="false" ht="26.85" hidden="false" customHeight="false" outlineLevel="0" collapsed="false">
      <c r="A11" s="7" t="s">
        <v>324</v>
      </c>
      <c r="B11" s="7" t="s">
        <v>325</v>
      </c>
      <c r="C11" s="7" t="s">
        <v>314</v>
      </c>
      <c r="D11" s="7" t="s">
        <v>308</v>
      </c>
      <c r="E11" s="7" t="s">
        <v>315</v>
      </c>
      <c r="F11" s="7" t="s">
        <v>310</v>
      </c>
      <c r="G11" s="7" t="s">
        <v>316</v>
      </c>
      <c r="H11" s="7" t="s">
        <v>326</v>
      </c>
      <c r="I11" s="7" t="s">
        <v>313</v>
      </c>
    </row>
    <row r="12" customFormat="false" ht="39.55" hidden="false" customHeight="false" outlineLevel="0" collapsed="false">
      <c r="A12" s="7" t="s">
        <v>327</v>
      </c>
      <c r="B12" s="7" t="s">
        <v>328</v>
      </c>
      <c r="C12" s="7" t="s">
        <v>314</v>
      </c>
      <c r="D12" s="7" t="s">
        <v>308</v>
      </c>
      <c r="E12" s="7" t="s">
        <v>329</v>
      </c>
      <c r="F12" s="7" t="s">
        <v>310</v>
      </c>
      <c r="G12" s="7" t="s">
        <v>316</v>
      </c>
      <c r="H12" s="7" t="s">
        <v>330</v>
      </c>
      <c r="I12" s="7" t="s">
        <v>313</v>
      </c>
    </row>
    <row r="13" customFormat="false" ht="26.85" hidden="false" customHeight="false" outlineLevel="0" collapsed="false">
      <c r="A13" s="7" t="s">
        <v>331</v>
      </c>
      <c r="B13" s="7" t="s">
        <v>332</v>
      </c>
      <c r="C13" s="7" t="s">
        <v>314</v>
      </c>
      <c r="D13" s="7" t="s">
        <v>308</v>
      </c>
      <c r="E13" s="7" t="s">
        <v>315</v>
      </c>
      <c r="F13" s="7" t="s">
        <v>310</v>
      </c>
      <c r="G13" s="7" t="s">
        <v>316</v>
      </c>
      <c r="H13" s="7" t="s">
        <v>333</v>
      </c>
      <c r="I13" s="7" t="s">
        <v>313</v>
      </c>
    </row>
    <row r="14" customFormat="false" ht="26.85" hidden="false" customHeight="false" outlineLevel="0" collapsed="false">
      <c r="A14" s="7" t="s">
        <v>261</v>
      </c>
      <c r="B14" s="7" t="s">
        <v>334</v>
      </c>
      <c r="C14" s="7" t="s">
        <v>314</v>
      </c>
      <c r="D14" s="7" t="s">
        <v>308</v>
      </c>
      <c r="E14" s="7" t="s">
        <v>315</v>
      </c>
      <c r="F14" s="7" t="s">
        <v>310</v>
      </c>
      <c r="G14" s="7" t="s">
        <v>316</v>
      </c>
      <c r="H14" s="7" t="s">
        <v>335</v>
      </c>
      <c r="I14" s="7" t="s">
        <v>313</v>
      </c>
    </row>
    <row r="15" customFormat="false" ht="52.2" hidden="false" customHeight="false" outlineLevel="0" collapsed="false">
      <c r="A15" s="7" t="s">
        <v>336</v>
      </c>
      <c r="B15" s="7" t="s">
        <v>337</v>
      </c>
      <c r="C15" s="7" t="s">
        <v>338</v>
      </c>
      <c r="D15" s="7" t="s">
        <v>339</v>
      </c>
      <c r="E15" s="7" t="s">
        <v>340</v>
      </c>
      <c r="F15" s="7" t="s">
        <v>341</v>
      </c>
      <c r="G15" s="7" t="s">
        <v>316</v>
      </c>
      <c r="H15" s="7" t="s">
        <v>342</v>
      </c>
      <c r="I15" s="7" t="s">
        <v>343</v>
      </c>
    </row>
    <row r="16" customFormat="false" ht="64.9" hidden="false" customHeight="false" outlineLevel="0" collapsed="false">
      <c r="A16" s="7" t="s">
        <v>344</v>
      </c>
      <c r="B16" s="7" t="s">
        <v>345</v>
      </c>
      <c r="C16" s="7"/>
      <c r="D16" s="7"/>
      <c r="E16" s="7" t="s">
        <v>346</v>
      </c>
      <c r="F16" s="7" t="s">
        <v>347</v>
      </c>
      <c r="G16" s="7"/>
      <c r="H16" s="7" t="s">
        <v>348</v>
      </c>
      <c r="I16" s="7" t="s">
        <v>349</v>
      </c>
    </row>
    <row r="17" customFormat="false" ht="64.9" hidden="false" customHeight="false" outlineLevel="0" collapsed="false">
      <c r="A17" s="27" t="s">
        <v>350</v>
      </c>
      <c r="B17" s="27" t="s">
        <v>351</v>
      </c>
      <c r="C17" s="27" t="s">
        <v>352</v>
      </c>
      <c r="D17" s="27" t="s">
        <v>353</v>
      </c>
      <c r="E17" s="27"/>
      <c r="F17" s="27" t="s">
        <v>354</v>
      </c>
      <c r="G17" s="27" t="s">
        <v>355</v>
      </c>
      <c r="H17" s="27" t="s">
        <v>356</v>
      </c>
      <c r="I17" s="27" t="s">
        <v>357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0"/>
    <col collapsed="false" customWidth="true" hidden="false" outlineLevel="0" max="3" min="3" style="0" width="60"/>
    <col collapsed="false" customWidth="true" hidden="false" outlineLevel="0" max="4" min="4" style="0" width="24"/>
  </cols>
  <sheetData>
    <row r="1" customFormat="false" ht="16.15" hidden="false" customHeight="false" outlineLevel="0" collapsed="false">
      <c r="A1" s="4" t="s">
        <v>358</v>
      </c>
    </row>
    <row r="3" customFormat="false" ht="26.85" hidden="false" customHeight="false" outlineLevel="0" collapsed="false">
      <c r="A3" s="6" t="s">
        <v>359</v>
      </c>
      <c r="B3" s="6" t="s">
        <v>360</v>
      </c>
      <c r="C3" s="6" t="s">
        <v>361</v>
      </c>
      <c r="D3" s="6" t="s">
        <v>362</v>
      </c>
    </row>
    <row r="4" customFormat="false" ht="26.85" hidden="false" customHeight="false" outlineLevel="0" collapsed="false">
      <c r="A4" s="7" t="n">
        <v>1</v>
      </c>
      <c r="B4" s="7" t="s">
        <v>363</v>
      </c>
      <c r="C4" s="7" t="s">
        <v>364</v>
      </c>
      <c r="D4" s="7" t="s">
        <v>365</v>
      </c>
    </row>
    <row r="5" customFormat="false" ht="26.85" hidden="false" customHeight="false" outlineLevel="0" collapsed="false">
      <c r="A5" s="7" t="n">
        <v>2</v>
      </c>
      <c r="B5" s="7" t="s">
        <v>366</v>
      </c>
      <c r="C5" s="7" t="s">
        <v>367</v>
      </c>
      <c r="D5" s="7" t="s">
        <v>368</v>
      </c>
    </row>
    <row r="6" customFormat="false" ht="26.85" hidden="false" customHeight="false" outlineLevel="0" collapsed="false">
      <c r="A6" s="7" t="n">
        <v>3</v>
      </c>
      <c r="B6" s="7" t="s">
        <v>369</v>
      </c>
      <c r="C6" s="7" t="s">
        <v>370</v>
      </c>
      <c r="D6" s="7" t="s">
        <v>368</v>
      </c>
    </row>
    <row r="7" customFormat="false" ht="52.2" hidden="false" customHeight="false" outlineLevel="0" collapsed="false">
      <c r="A7" s="7" t="n">
        <v>4</v>
      </c>
      <c r="B7" s="7" t="s">
        <v>371</v>
      </c>
      <c r="C7" s="7" t="s">
        <v>372</v>
      </c>
      <c r="D7" s="7" t="s">
        <v>373</v>
      </c>
    </row>
    <row r="8" customFormat="false" ht="39.55" hidden="false" customHeight="false" outlineLevel="0" collapsed="false">
      <c r="A8" s="7" t="n">
        <v>5</v>
      </c>
      <c r="B8" s="7" t="s">
        <v>374</v>
      </c>
      <c r="C8" s="7" t="s">
        <v>375</v>
      </c>
      <c r="D8" s="7" t="s">
        <v>376</v>
      </c>
    </row>
    <row r="9" customFormat="false" ht="26.85" hidden="false" customHeight="false" outlineLevel="0" collapsed="false">
      <c r="A9" s="7" t="n">
        <v>6</v>
      </c>
      <c r="B9" s="7" t="s">
        <v>377</v>
      </c>
      <c r="C9" s="7" t="s">
        <v>378</v>
      </c>
      <c r="D9" s="7" t="s">
        <v>379</v>
      </c>
    </row>
    <row r="10" customFormat="false" ht="26.85" hidden="false" customHeight="false" outlineLevel="0" collapsed="false">
      <c r="A10" s="7" t="n">
        <v>7</v>
      </c>
      <c r="B10" s="7" t="s">
        <v>380</v>
      </c>
      <c r="C10" s="7" t="s">
        <v>381</v>
      </c>
      <c r="D10" s="7" t="s">
        <v>382</v>
      </c>
    </row>
    <row r="11" customFormat="false" ht="39.55" hidden="false" customHeight="false" outlineLevel="0" collapsed="false">
      <c r="A11" s="7" t="n">
        <v>8</v>
      </c>
      <c r="B11" s="7" t="s">
        <v>383</v>
      </c>
      <c r="C11" s="7" t="s">
        <v>384</v>
      </c>
      <c r="D11" s="7" t="s">
        <v>385</v>
      </c>
    </row>
    <row r="12" customFormat="false" ht="26.85" hidden="false" customHeight="false" outlineLevel="0" collapsed="false">
      <c r="A12" s="7" t="n">
        <v>9</v>
      </c>
      <c r="B12" s="7" t="s">
        <v>386</v>
      </c>
      <c r="C12" s="7" t="s">
        <v>387</v>
      </c>
      <c r="D12" s="7" t="s">
        <v>388</v>
      </c>
    </row>
    <row r="14" customFormat="false" ht="16.15" hidden="false" customHeight="false" outlineLevel="0" collapsed="false">
      <c r="A14" s="4" t="s">
        <v>389</v>
      </c>
    </row>
    <row r="15" customFormat="false" ht="26.85" hidden="false" customHeight="false" outlineLevel="0" collapsed="false">
      <c r="A15" s="6" t="s">
        <v>390</v>
      </c>
      <c r="B15" s="6" t="s">
        <v>391</v>
      </c>
      <c r="C15" s="6" t="s">
        <v>392</v>
      </c>
      <c r="D15" s="6" t="s">
        <v>393</v>
      </c>
    </row>
    <row r="16" customFormat="false" ht="52.2" hidden="false" customHeight="false" outlineLevel="0" collapsed="false">
      <c r="A16" s="7" t="s">
        <v>394</v>
      </c>
      <c r="B16" s="7" t="s">
        <v>395</v>
      </c>
      <c r="C16" s="7" t="s">
        <v>396</v>
      </c>
      <c r="D16" s="7" t="s">
        <v>397</v>
      </c>
    </row>
    <row r="17" customFormat="false" ht="52.2" hidden="false" customHeight="false" outlineLevel="0" collapsed="false">
      <c r="A17" s="7" t="s">
        <v>398</v>
      </c>
      <c r="B17" s="7" t="s">
        <v>399</v>
      </c>
      <c r="C17" s="7" t="s">
        <v>400</v>
      </c>
      <c r="D17" s="7" t="s">
        <v>401</v>
      </c>
    </row>
    <row r="18" customFormat="false" ht="39.55" hidden="false" customHeight="false" outlineLevel="0" collapsed="false">
      <c r="A18" s="7" t="s">
        <v>402</v>
      </c>
      <c r="B18" s="7" t="s">
        <v>403</v>
      </c>
      <c r="C18" s="7" t="s">
        <v>404</v>
      </c>
      <c r="D18" s="7" t="s">
        <v>405</v>
      </c>
    </row>
    <row r="19" customFormat="false" ht="39.55" hidden="false" customHeight="false" outlineLevel="0" collapsed="false">
      <c r="A19" s="7" t="s">
        <v>406</v>
      </c>
      <c r="B19" s="7" t="s">
        <v>407</v>
      </c>
      <c r="C19" s="7" t="s">
        <v>408</v>
      </c>
      <c r="D19" s="7" t="s">
        <v>409</v>
      </c>
    </row>
    <row r="20" customFormat="false" ht="77.6" hidden="false" customHeight="false" outlineLevel="0" collapsed="false">
      <c r="A20" s="28" t="s">
        <v>109</v>
      </c>
      <c r="B20" s="28" t="s">
        <v>410</v>
      </c>
      <c r="C20" s="28" t="s">
        <v>411</v>
      </c>
      <c r="D20" s="28"/>
    </row>
    <row r="22" customFormat="false" ht="16.15" hidden="false" customHeight="false" outlineLevel="0" collapsed="false">
      <c r="A22" s="4" t="s">
        <v>412</v>
      </c>
    </row>
    <row r="23" customFormat="false" ht="30" hidden="false" customHeight="true" outlineLevel="0" collapsed="false">
      <c r="B23" s="29" t="s">
        <v>413</v>
      </c>
      <c r="C23" s="29"/>
      <c r="D23" s="29"/>
    </row>
    <row r="24" customFormat="false" ht="30" hidden="false" customHeight="true" outlineLevel="0" collapsed="false">
      <c r="B24" s="29" t="s">
        <v>414</v>
      </c>
      <c r="C24" s="29"/>
      <c r="D24" s="29"/>
    </row>
    <row r="25" customFormat="false" ht="30" hidden="false" customHeight="true" outlineLevel="0" collapsed="false">
      <c r="B25" s="29" t="s">
        <v>415</v>
      </c>
      <c r="C25" s="29"/>
      <c r="D25" s="29"/>
    </row>
    <row r="26" customFormat="false" ht="30" hidden="false" customHeight="true" outlineLevel="0" collapsed="false">
      <c r="B26" s="29" t="s">
        <v>416</v>
      </c>
      <c r="C26" s="29"/>
      <c r="D26" s="29"/>
    </row>
    <row r="27" customFormat="false" ht="30" hidden="false" customHeight="true" outlineLevel="0" collapsed="false">
      <c r="B27" s="29" t="s">
        <v>417</v>
      </c>
      <c r="C27" s="29"/>
      <c r="D27" s="29"/>
    </row>
    <row r="28" customFormat="false" ht="30" hidden="false" customHeight="true" outlineLevel="0" collapsed="false">
      <c r="B28" s="29" t="s">
        <v>418</v>
      </c>
      <c r="C28" s="29"/>
      <c r="D28" s="29"/>
    </row>
  </sheetData>
  <mergeCells count="6">
    <mergeCell ref="B23:D23"/>
    <mergeCell ref="B24:D24"/>
    <mergeCell ref="B25:D25"/>
    <mergeCell ref="B26:D26"/>
    <mergeCell ref="B27:D27"/>
    <mergeCell ref="B28:D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2026-10-19T07:37:48Z</dcterms:created>
  <dc:creator>openpyxl</dc:creator>
  <dc:description/>
  <dc:language>en-US</dc:language>
  <cp:lastModifiedBy/>
  <dcterms:modified xsi:type="dcterms:W3CDTF">2026-10-19T07:37:48Z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